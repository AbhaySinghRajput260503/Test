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r257\OneDrive\Desktop\"/>
    </mc:Choice>
  </mc:AlternateContent>
  <xr:revisionPtr revIDLastSave="0" documentId="8_{6EE422A5-D165-484D-9D1F-77EF94D5112C}" xr6:coauthVersionLast="47" xr6:coauthVersionMax="47" xr10:uidLastSave="{00000000-0000-0000-0000-000000000000}"/>
  <bookViews>
    <workbookView xWindow="-108" yWindow="-108" windowWidth="23256" windowHeight="13176" tabRatio="500" activeTab="5" xr2:uid="{00000000-000D-0000-FFFF-FFFF00000000}"/>
  </bookViews>
  <sheets>
    <sheet name="INC" sheetId="1" r:id="rId1"/>
    <sheet name="BS" sheetId="2" r:id="rId2"/>
    <sheet name="CFS" sheetId="3" r:id="rId3"/>
    <sheet name="Ratios" sheetId="4" r:id="rId4"/>
    <sheet name="FCFF Valuation" sheetId="5" r:id="rId5"/>
    <sheet name="Instructions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0" localSheetId="4">#REF!</definedName>
    <definedName name="\0">#REF!</definedName>
    <definedName name="\c" localSheetId="4">#REF!</definedName>
    <definedName name="\c">#REF!</definedName>
    <definedName name="\d">#N/A</definedName>
    <definedName name="\l">#N/A</definedName>
    <definedName name="\M" localSheetId="4">#REF!</definedName>
    <definedName name="\M">#REF!</definedName>
    <definedName name="\n">#N/A</definedName>
    <definedName name="\p">#N/A</definedName>
    <definedName name="\r">#N/A</definedName>
    <definedName name="\s" localSheetId="4">#REF!</definedName>
    <definedName name="\s">#REF!</definedName>
    <definedName name="\t">#N/A</definedName>
    <definedName name="\w">#N/A</definedName>
    <definedName name="\Y" localSheetId="4">#REF!</definedName>
    <definedName name="\Y">#REF!</definedName>
    <definedName name="\z">#N/A</definedName>
    <definedName name="__123" hidden="1">[3]JAN!$B$46:$B$50</definedName>
    <definedName name="__123Graph_A" localSheetId="4" hidden="1">[2]sales!#REF!</definedName>
    <definedName name="__123Graph_A" hidden="1">[2]sales!#REF!</definedName>
    <definedName name="__123Graph_ABUD" localSheetId="4" hidden="1">[6]exp!#REF!</definedName>
    <definedName name="__123Graph_ABUD" hidden="1">[6]exp!#REF!</definedName>
    <definedName name="__123Graph_ADM" hidden="1">[3]JAN!$C$46:$C$50</definedName>
    <definedName name="__123Graph_ADY" hidden="1">[3]JAN!$H$46:$H$50</definedName>
    <definedName name="__123Graph_AMONTH" localSheetId="4" hidden="1">[4]sales!#REF!</definedName>
    <definedName name="__123Graph_AMONTH" hidden="1">[4]sales!#REF!</definedName>
    <definedName name="__123Graph_ATREND" localSheetId="4" hidden="1">[4]sales!#REF!</definedName>
    <definedName name="__123Graph_ATREND" hidden="1">[4]sales!#REF!</definedName>
    <definedName name="__123Graph_AYEAR" localSheetId="4" hidden="1">[4]sales!#REF!</definedName>
    <definedName name="__123Graph_AYEAR" hidden="1">[4]sales!#REF!</definedName>
    <definedName name="__123Graph_AYTD" localSheetId="4" hidden="1">[6]exp!#REF!</definedName>
    <definedName name="__123Graph_AYTD" hidden="1">[6]exp!#REF!</definedName>
    <definedName name="__123Graph_B" hidden="1">[3]JAN!$D$46:$D$50</definedName>
    <definedName name="__123Graph_BDM" hidden="1">[3]JAN!$C$46:$C$50</definedName>
    <definedName name="__123Graph_BMONTH" localSheetId="4" hidden="1">[4]sales!#REF!</definedName>
    <definedName name="__123Graph_BMONTH" hidden="1">[4]sales!#REF!</definedName>
    <definedName name="__123Graph_BTREND" localSheetId="4" hidden="1">[4]sales!#REF!</definedName>
    <definedName name="__123Graph_BTREND" hidden="1">[4]sales!#REF!</definedName>
    <definedName name="__123Graph_BYEAR" localSheetId="4" hidden="1">[4]sales!#REF!</definedName>
    <definedName name="__123Graph_BYEAR" hidden="1">[4]sales!#REF!</definedName>
    <definedName name="__123Graph_D" localSheetId="4" hidden="1">[2]sales!#REF!</definedName>
    <definedName name="__123Graph_D" hidden="1">[2]sales!#REF!</definedName>
    <definedName name="__123Graph_LBL_A" localSheetId="4" hidden="1">[4]sales!#REF!</definedName>
    <definedName name="__123Graph_LBL_A" hidden="1">[4]sales!#REF!</definedName>
    <definedName name="__123Graph_LBL_AMONTH" localSheetId="4" hidden="1">[4]sales!#REF!</definedName>
    <definedName name="__123Graph_LBL_AMONTH" hidden="1">[4]sales!#REF!</definedName>
    <definedName name="__123Graph_LBL_ATREND" localSheetId="4" hidden="1">[4]sales!#REF!</definedName>
    <definedName name="__123Graph_LBL_ATREND" hidden="1">[4]sales!#REF!</definedName>
    <definedName name="__123Graph_LBL_AYEAR" localSheetId="4" hidden="1">[4]sales!#REF!</definedName>
    <definedName name="__123Graph_LBL_AYEAR" hidden="1">[4]sales!#REF!</definedName>
    <definedName name="__123Graph_LBL_B" localSheetId="4" hidden="1">[4]sales!#REF!</definedName>
    <definedName name="__123Graph_LBL_B" hidden="1">[4]sales!#REF!</definedName>
    <definedName name="__123Graph_LBL_BMONTH" localSheetId="4" hidden="1">[4]sales!#REF!</definedName>
    <definedName name="__123Graph_LBL_BMONTH" hidden="1">[4]sales!#REF!</definedName>
    <definedName name="__123Graph_LBL_BTREND" localSheetId="4" hidden="1">[4]sales!#REF!</definedName>
    <definedName name="__123Graph_LBL_BTREND" hidden="1">[4]sales!#REF!</definedName>
    <definedName name="__123Graph_LBL_BYEAR" localSheetId="4" hidden="1">[4]sales!#REF!</definedName>
    <definedName name="__123Graph_LBL_BYEAR" hidden="1">[4]sales!#REF!</definedName>
    <definedName name="__123Graph_X" hidden="1">[3]JAN!$B$46:$B$50</definedName>
    <definedName name="__123Graph_XBUD" localSheetId="4" hidden="1">[6]exp!#REF!</definedName>
    <definedName name="__123Graph_XBUD" hidden="1">[6]exp!#REF!</definedName>
    <definedName name="__123Graph_XDM" hidden="1">[3]JAN!$B$46:$B$50</definedName>
    <definedName name="__123Graph_XDY" hidden="1">[3]JAN!$B$46:$B$50</definedName>
    <definedName name="__123Graph_XMONTH" localSheetId="4" hidden="1">[4]sales!#REF!</definedName>
    <definedName name="__123Graph_XMONTH" hidden="1">[4]sales!#REF!</definedName>
    <definedName name="__123Graph_XTREND" localSheetId="4" hidden="1">[4]sales!#REF!</definedName>
    <definedName name="__123Graph_XTREND" hidden="1">[4]sales!#REF!</definedName>
    <definedName name="__123Graph_XYEAR" localSheetId="4" hidden="1">[4]sales!#REF!</definedName>
    <definedName name="__123Graph_XYEAR" hidden="1">[4]sales!#REF!</definedName>
    <definedName name="__123Graph_XYTD" localSheetId="4" hidden="1">[6]exp!#REF!</definedName>
    <definedName name="__123Graph_XYTD" hidden="1">[6]exp!#REF!</definedName>
    <definedName name="_1" localSheetId="4">#REF!</definedName>
    <definedName name="_1">#REF!</definedName>
    <definedName name="_1__123Graph_AMKT_MONTH" localSheetId="4" hidden="1">[4]sales!#REF!</definedName>
    <definedName name="_1__123Graph_AMKT_MONTH" hidden="1">[4]sales!#REF!</definedName>
    <definedName name="_10">#N/A</definedName>
    <definedName name="_10__123Graph_XMKT_YTD" localSheetId="4" hidden="1">[4]sales!#REF!</definedName>
    <definedName name="_10__123Graph_XMKT_YTD" hidden="1">[4]sales!#REF!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A" localSheetId="4">#REF!</definedName>
    <definedName name="_1A">#REF!</definedName>
    <definedName name="_1F" localSheetId="4">#REF!</definedName>
    <definedName name="_1F">#REF!</definedName>
    <definedName name="_1NR" localSheetId="4">#REF!</definedName>
    <definedName name="_1NR">#REF!</definedName>
    <definedName name="_1S" localSheetId="4">#REF!</definedName>
    <definedName name="_1S">#REF!</definedName>
    <definedName name="_2" localSheetId="4">#REF!</definedName>
    <definedName name="_2">#REF!</definedName>
    <definedName name="_2__123Graph_AMKT_YTD" localSheetId="4" hidden="1">[4]sales!#REF!</definedName>
    <definedName name="_2__123Graph_AMKT_YTD" hidden="1">[4]sales!#REF!</definedName>
    <definedName name="_20">#N/A</definedName>
    <definedName name="_21">#N/A</definedName>
    <definedName name="_22">#N/A</definedName>
    <definedName name="_2A" localSheetId="4">#REF!</definedName>
    <definedName name="_2A">#REF!</definedName>
    <definedName name="_2F" localSheetId="4">#REF!</definedName>
    <definedName name="_2F">#REF!</definedName>
    <definedName name="_2S" localSheetId="4">#REF!</definedName>
    <definedName name="_2S">#REF!</definedName>
    <definedName name="_3">#N/A</definedName>
    <definedName name="_3__123Graph_BMKT_MONTH" localSheetId="4" hidden="1">[4]sales!#REF!</definedName>
    <definedName name="_3__123Graph_BMKT_MONTH" hidden="1">[4]sales!#REF!</definedName>
    <definedName name="_3A" localSheetId="4">#REF!</definedName>
    <definedName name="_3A">#REF!</definedName>
    <definedName name="_3S" localSheetId="4">#REF!</definedName>
    <definedName name="_3S">#REF!</definedName>
    <definedName name="_4">#N/A</definedName>
    <definedName name="_4__123Graph_BMKT_YTD" localSheetId="4" hidden="1">[4]sales!#REF!</definedName>
    <definedName name="_4__123Graph_BMKT_YTD" hidden="1">[4]sales!#REF!</definedName>
    <definedName name="_4A" localSheetId="4">#REF!</definedName>
    <definedName name="_4A">#REF!</definedName>
    <definedName name="_4S" localSheetId="4">#REF!</definedName>
    <definedName name="_4S">#REF!</definedName>
    <definedName name="_5">#N/A</definedName>
    <definedName name="_5__123Graph_LBL_AMKT_MONTH" localSheetId="4" hidden="1">[4]sales!#REF!</definedName>
    <definedName name="_5__123Graph_LBL_AMKT_MONTH" hidden="1">[4]sales!#REF!</definedName>
    <definedName name="_5A" localSheetId="4">#REF!</definedName>
    <definedName name="_5A">#REF!</definedName>
    <definedName name="_5S" localSheetId="4">#REF!</definedName>
    <definedName name="_5S">#REF!</definedName>
    <definedName name="_6">#N/A</definedName>
    <definedName name="_6__123Graph_LBL_AMKT_YTD" localSheetId="4" hidden="1">[4]sales!#REF!</definedName>
    <definedName name="_6__123Graph_LBL_AMKT_YTD" hidden="1">[4]sales!#REF!</definedName>
    <definedName name="_7">#N/A</definedName>
    <definedName name="_7__123Graph_LBL_BMKT_MONTH" localSheetId="4" hidden="1">[4]sales!#REF!</definedName>
    <definedName name="_7__123Graph_LBL_BMKT_MONTH" hidden="1">[4]sales!#REF!</definedName>
    <definedName name="_8">#N/A</definedName>
    <definedName name="_8__123Graph_LBL_BMKT_YTD" localSheetId="4" hidden="1">[4]sales!#REF!</definedName>
    <definedName name="_8__123Graph_LBL_BMKT_YTD" hidden="1">[4]sales!#REF!</definedName>
    <definedName name="_9">#N/A</definedName>
    <definedName name="_9__123Graph_XMKT_MONTH" localSheetId="4" hidden="1">[4]sales!#REF!</definedName>
    <definedName name="_9__123Graph_XMKT_MONTH" hidden="1">[4]sales!#REF!</definedName>
    <definedName name="_ALL1" localSheetId="4">#REF!</definedName>
    <definedName name="_ALL1">#REF!</definedName>
    <definedName name="_Fill" localSheetId="4" hidden="1">#REF!</definedName>
    <definedName name="_Fill" hidden="1">#REF!</definedName>
    <definedName name="_Key1" localSheetId="4" hidden="1">#REF!</definedName>
    <definedName name="_Key1" hidden="1">#REF!</definedName>
    <definedName name="_Key2" localSheetId="4" hidden="1">[5]prod!#REF!</definedName>
    <definedName name="_Key2" hidden="1">[5]prod!#REF!</definedName>
    <definedName name="_Order1" hidden="1">255</definedName>
    <definedName name="_Order2" hidden="1">255</definedName>
    <definedName name="_RIL1" localSheetId="4">#REF!</definedName>
    <definedName name="_RIL1">#REF!</definedName>
    <definedName name="_Sort" localSheetId="4" hidden="1">#REF!</definedName>
    <definedName name="_Sort" hidden="1">#REF!</definedName>
    <definedName name="A" localSheetId="4">#REF!</definedName>
    <definedName name="A">#REF!</definedName>
    <definedName name="AACTP" localSheetId="4">#REF!</definedName>
    <definedName name="AACTP">#REF!</definedName>
    <definedName name="AB" localSheetId="4">'[1]vision 2000'!#REF!</definedName>
    <definedName name="AB">'[1]vision 2000'!#REF!</definedName>
    <definedName name="ACCUMLEAVE">#N/A</definedName>
    <definedName name="ACT" localSheetId="4">#REF!</definedName>
    <definedName name="ACT">#REF!</definedName>
    <definedName name="ACTP" localSheetId="4">#REF!</definedName>
    <definedName name="ACTP">#REF!</definedName>
    <definedName name="ad" localSheetId="4">#REF!</definedName>
    <definedName name="ad">#REF!</definedName>
    <definedName name="ALL" localSheetId="4" hidden="1">[2]sales!#REF!</definedName>
    <definedName name="ALL" hidden="1">[2]sales!#REF!</definedName>
    <definedName name="ALLG" localSheetId="4">#REF!</definedName>
    <definedName name="ALLG">#REF!</definedName>
    <definedName name="ALLGROUPS" localSheetId="4" hidden="1">[2]sales!#REF!</definedName>
    <definedName name="ALLGROUPS" hidden="1">[2]sales!#REF!</definedName>
    <definedName name="ALW_CASH">#N/A</definedName>
    <definedName name="ALW_FOOD">#N/A</definedName>
    <definedName name="ALW_HOUSE">#N/A</definedName>
    <definedName name="ALW_TRANSP">#N/A</definedName>
    <definedName name="ANNUALEAVE">#N/A</definedName>
    <definedName name="APPROVAL">#N/A</definedName>
    <definedName name="asd" localSheetId="4">#REF!</definedName>
    <definedName name="asd">#REF!</definedName>
    <definedName name="ATTEND">#N/A</definedName>
    <definedName name="B" localSheetId="4">#REF!</definedName>
    <definedName name="B">#REF!</definedName>
    <definedName name="BASIC">#N/A</definedName>
    <definedName name="BU" localSheetId="4">#REF!</definedName>
    <definedName name="BU">#REF!</definedName>
    <definedName name="BUD" localSheetId="4">#REF!</definedName>
    <definedName name="BUD">#REF!</definedName>
    <definedName name="BUDGET" localSheetId="4">#REF!</definedName>
    <definedName name="BUDGET">#REF!</definedName>
    <definedName name="BUDP" localSheetId="4">#REF!</definedName>
    <definedName name="BUDP">#REF!</definedName>
    <definedName name="BUUDP" localSheetId="4">#REF!</definedName>
    <definedName name="BUUDP">#REF!</definedName>
    <definedName name="C_" localSheetId="4">#REF!</definedName>
    <definedName name="C_">#REF!</definedName>
    <definedName name="CENTRE">#N/A</definedName>
    <definedName name="CIVILDATE">#N/A</definedName>
    <definedName name="CIVILEXPIR">#N/A</definedName>
    <definedName name="CIVILID">#N/A</definedName>
    <definedName name="CUSTNAME" localSheetId="4">#REF!</definedName>
    <definedName name="CUSTNAME">#REF!</definedName>
    <definedName name="CUSTNO" localSheetId="4">#REF!</definedName>
    <definedName name="CUSTNO">#REF!</definedName>
    <definedName name="_xlnm.Database" localSheetId="4">#REF!</definedName>
    <definedName name="_xlnm.Database">#REF!</definedName>
    <definedName name="DAYS">#N/A</definedName>
    <definedName name="DAYS120" localSheetId="4">#REF!</definedName>
    <definedName name="DAYS120">#REF!</definedName>
    <definedName name="DAYS30" localSheetId="4">#REF!</definedName>
    <definedName name="DAYS30">#REF!</definedName>
    <definedName name="DAYS60" localSheetId="4">#REF!</definedName>
    <definedName name="DAYS60">#REF!</definedName>
    <definedName name="DAYS90" localSheetId="4">#REF!</definedName>
    <definedName name="DAYS90">#REF!</definedName>
    <definedName name="DI" localSheetId="4">#REF!</definedName>
    <definedName name="DI">#REF!</definedName>
    <definedName name="DIV" localSheetId="4">#REF!</definedName>
    <definedName name="DIV">#REF!</definedName>
    <definedName name="DIVI" localSheetId="4">#REF!</definedName>
    <definedName name="DIVI">#REF!</definedName>
    <definedName name="DIVISION">#N/A</definedName>
    <definedName name="e" localSheetId="4">#REF!</definedName>
    <definedName name="e">#REF!</definedName>
    <definedName name="ENTRYDATE">#N/A</definedName>
    <definedName name="EXPS" localSheetId="4">#REF!</definedName>
    <definedName name="EXPS">#REF!</definedName>
    <definedName name="F" localSheetId="4">#REF!</definedName>
    <definedName name="F">#REF!</definedName>
    <definedName name="F_DATE">#N/A</definedName>
    <definedName name="FIN" localSheetId="4">#REF!</definedName>
    <definedName name="FIN">#REF!</definedName>
    <definedName name="FINA" localSheetId="4">#REF!</definedName>
    <definedName name="FINA">#REF!</definedName>
    <definedName name="FINANCE" localSheetId="4">#REF!</definedName>
    <definedName name="FINANCE">#REF!</definedName>
    <definedName name="FINN" localSheetId="4">#REF!</definedName>
    <definedName name="FINN">#REF!</definedName>
    <definedName name="FREIGHT" localSheetId="4">#REF!</definedName>
    <definedName name="FREIGHT">#REF!</definedName>
    <definedName name="FTC">#N/A</definedName>
    <definedName name="g" localSheetId="4">#REF!</definedName>
    <definedName name="g">#REF!</definedName>
    <definedName name="GRADE">#N/A</definedName>
    <definedName name="GROUP">#N/A</definedName>
    <definedName name="h" localSheetId="4">#REF!</definedName>
    <definedName name="h">#REF!</definedName>
    <definedName name="hj" localSheetId="4">#REF!</definedName>
    <definedName name="hj">#REF!</definedName>
    <definedName name="i" localSheetId="4">#REF!</definedName>
    <definedName name="i">#REF!</definedName>
    <definedName name="Interconnect_Paid_Rate">#N/A</definedName>
    <definedName name="JOB">#N/A</definedName>
    <definedName name="JOINDATE">#N/A</definedName>
    <definedName name="L" localSheetId="4">#REF!</definedName>
    <definedName name="L">#REF!</definedName>
    <definedName name="LASTINCRDT">#N/A</definedName>
    <definedName name="LASTINCREM">#N/A</definedName>
    <definedName name="LASTRESUME">#N/A</definedName>
    <definedName name="LEAVEAVAIL">#N/A</definedName>
    <definedName name="M" localSheetId="4" hidden="1">[2]sales!#REF!</definedName>
    <definedName name="M" hidden="1">[2]sales!#REF!</definedName>
    <definedName name="MECH">#N/A</definedName>
    <definedName name="MECHANIC">#N/A</definedName>
    <definedName name="MGMT" localSheetId="4">#REF!</definedName>
    <definedName name="MGMT">#REF!</definedName>
    <definedName name="MGMT1" localSheetId="4" hidden="1">[2]sales!#REF!</definedName>
    <definedName name="MGMT1" hidden="1">[2]sales!#REF!</definedName>
    <definedName name="MMM">[3]JAN!$AQ$5</definedName>
    <definedName name="MTH">#N/A</definedName>
    <definedName name="MUFFIGRAPH" hidden="1">[3]JAN!$B$46:$B$50</definedName>
    <definedName name="n" localSheetId="4">#REF!</definedName>
    <definedName name="n">#REF!</definedName>
    <definedName name="NA" localSheetId="4">#REF!</definedName>
    <definedName name="NA">#REF!</definedName>
    <definedName name="NAME">#N/A</definedName>
    <definedName name="NATIONALIT">#N/A</definedName>
    <definedName name="NOTDUE" localSheetId="4">#REF!</definedName>
    <definedName name="NOTDUE">#REF!</definedName>
    <definedName name="OVER120" localSheetId="4">#REF!</definedName>
    <definedName name="OVER120">#REF!</definedName>
    <definedName name="p" localSheetId="4">#REF!</definedName>
    <definedName name="p">#REF!</definedName>
    <definedName name="PASS_DATE">#N/A</definedName>
    <definedName name="PASS_EXPIR">#N/A</definedName>
    <definedName name="PASSPORT">#N/A</definedName>
    <definedName name="PFNO">#N/A</definedName>
    <definedName name="_xlnm.Print_Area" localSheetId="1">BS!$A$1:$J$33</definedName>
    <definedName name="_xlnm.Print_Area" localSheetId="2">CFS!$A$1:$J$54</definedName>
    <definedName name="_xlnm.Print_Area" localSheetId="0">INC!$A$1:$J$42</definedName>
    <definedName name="PRN" localSheetId="4">#REF!</definedName>
    <definedName name="PRN">#REF!</definedName>
    <definedName name="Q">[3]JAN!$AQ$5</definedName>
    <definedName name="R_">#N/A</definedName>
    <definedName name="RIL" localSheetId="4">#REF!</definedName>
    <definedName name="RIL">#REF!</definedName>
    <definedName name="s" localSheetId="4">#REF!</definedName>
    <definedName name="s">#REF!</definedName>
    <definedName name="SALES">#N/A</definedName>
    <definedName name="SLSP">#N/A</definedName>
    <definedName name="SWS" hidden="1">[3]JAN!$D$46:$D$50</definedName>
    <definedName name="t" localSheetId="4">#REF!</definedName>
    <definedName name="t">#REF!</definedName>
    <definedName name="T_DATE">#N/A</definedName>
    <definedName name="TBL">#N/A</definedName>
    <definedName name="TEAM">#N/A</definedName>
    <definedName name="TOT_SAL">#N/A</definedName>
    <definedName name="TOTAL" localSheetId="4">#REF!</definedName>
    <definedName name="TOTAL">#REF!</definedName>
    <definedName name="UNALCREDIT" localSheetId="4">#REF!</definedName>
    <definedName name="UNALCREDIT">#REF!</definedName>
    <definedName name="UTIL">#N/A</definedName>
    <definedName name="v" localSheetId="4">#REF!</definedName>
    <definedName name="v">#REF!</definedName>
    <definedName name="VISADATE">#N/A</definedName>
    <definedName name="VISAEXPIRY">#N/A</definedName>
    <definedName name="VISANUMBER">#N/A</definedName>
    <definedName name="wrn.Sensitivity." hidden="1">{#N/A,#N/A,FALSE,"Sensitivity"}</definedName>
    <definedName name="X">#N/A</definedName>
    <definedName name="z" localSheetId="4">#REF!</definedName>
    <definedName name="z">#REF!</definedName>
  </definedNames>
  <calcPr calcId="191029" iterate="1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1" l="1"/>
  <c r="H6" i="1"/>
  <c r="I6" i="1"/>
  <c r="J6" i="1"/>
  <c r="G8" i="1"/>
  <c r="H8" i="1"/>
  <c r="I8" i="1"/>
  <c r="J8" i="1"/>
  <c r="G10" i="1"/>
  <c r="H10" i="1"/>
  <c r="I10" i="1"/>
  <c r="J10" i="1"/>
  <c r="G11" i="1"/>
  <c r="H11" i="1"/>
  <c r="I11" i="1"/>
  <c r="J11" i="1"/>
  <c r="G12" i="1"/>
  <c r="H12" i="1"/>
  <c r="I12" i="1"/>
  <c r="J12" i="1"/>
  <c r="G14" i="1"/>
  <c r="H14" i="1"/>
  <c r="I14" i="1"/>
  <c r="J14" i="1"/>
  <c r="G16" i="1"/>
  <c r="H16" i="1"/>
  <c r="I16" i="1"/>
  <c r="J16" i="1"/>
  <c r="G18" i="1"/>
  <c r="H18" i="1"/>
  <c r="I18" i="1"/>
  <c r="J18" i="1"/>
  <c r="G20" i="1"/>
  <c r="H20" i="1"/>
  <c r="I20" i="1"/>
  <c r="J20" i="1"/>
  <c r="G22" i="1"/>
  <c r="H22" i="1"/>
  <c r="I22" i="1"/>
  <c r="J22" i="1"/>
  <c r="F22" i="1"/>
  <c r="F20" i="1"/>
  <c r="F18" i="1"/>
  <c r="F16" i="1"/>
  <c r="F14" i="1"/>
  <c r="F12" i="1"/>
  <c r="F11" i="1"/>
  <c r="F10" i="1"/>
  <c r="F8" i="1"/>
  <c r="F6" i="1"/>
  <c r="B13" i="5"/>
  <c r="B14" i="5" s="1"/>
  <c r="B12" i="5"/>
  <c r="A1" i="5"/>
  <c r="A1" i="4"/>
  <c r="F41" i="3"/>
  <c r="J26" i="3"/>
  <c r="H26" i="3"/>
  <c r="G26" i="3"/>
  <c r="F26" i="3"/>
  <c r="J21" i="3"/>
  <c r="I21" i="3"/>
  <c r="I26" i="3" s="1"/>
  <c r="J10" i="3"/>
  <c r="I10" i="3"/>
  <c r="A1" i="3"/>
  <c r="F24" i="2"/>
  <c r="G24" i="2" s="1"/>
  <c r="H24" i="2" s="1"/>
  <c r="I24" i="2" s="1"/>
  <c r="J24" i="2" s="1"/>
  <c r="I23" i="2"/>
  <c r="J23" i="2" s="1"/>
  <c r="F23" i="2"/>
  <c r="G23" i="2" s="1"/>
  <c r="E22" i="2"/>
  <c r="F22" i="2" s="1"/>
  <c r="D22" i="2"/>
  <c r="E20" i="2"/>
  <c r="E26" i="2" s="1"/>
  <c r="E30" i="2" s="1"/>
  <c r="D20" i="2"/>
  <c r="D26" i="2" s="1"/>
  <c r="D30" i="2" s="1"/>
  <c r="F14" i="2"/>
  <c r="G14" i="2" s="1"/>
  <c r="H14" i="2" s="1"/>
  <c r="I14" i="2" s="1"/>
  <c r="J14" i="2" s="1"/>
  <c r="F13" i="2"/>
  <c r="G13" i="2" s="1"/>
  <c r="H13" i="2" s="1"/>
  <c r="I13" i="2" s="1"/>
  <c r="J13" i="2" s="1"/>
  <c r="E10" i="2"/>
  <c r="E15" i="2" s="1"/>
  <c r="E32" i="2" s="1"/>
  <c r="D10" i="2"/>
  <c r="D15" i="2" s="1"/>
  <c r="E4" i="2"/>
  <c r="D4" i="2"/>
  <c r="A1" i="2"/>
  <c r="J54" i="1"/>
  <c r="J12" i="4" s="1"/>
  <c r="I54" i="1"/>
  <c r="I12" i="4" s="1"/>
  <c r="H54" i="1"/>
  <c r="H12" i="4" s="1"/>
  <c r="G54" i="1"/>
  <c r="G12" i="4" s="1"/>
  <c r="F54" i="1"/>
  <c r="F12" i="4" s="1"/>
  <c r="E51" i="1"/>
  <c r="D51" i="1"/>
  <c r="C51" i="1"/>
  <c r="B51" i="1"/>
  <c r="E48" i="1"/>
  <c r="D48" i="1"/>
  <c r="C48" i="1"/>
  <c r="B48" i="1"/>
  <c r="J45" i="1"/>
  <c r="I45" i="1"/>
  <c r="H45" i="1"/>
  <c r="G45" i="1"/>
  <c r="F45" i="1"/>
  <c r="E44" i="1"/>
  <c r="J43" i="1"/>
  <c r="I43" i="1"/>
  <c r="H43" i="1"/>
  <c r="G43" i="1"/>
  <c r="F43" i="1"/>
  <c r="F42" i="1"/>
  <c r="F8" i="3" s="1"/>
  <c r="E42" i="1"/>
  <c r="D42" i="1"/>
  <c r="C42" i="1"/>
  <c r="B42" i="1"/>
  <c r="J39" i="1"/>
  <c r="I39" i="1"/>
  <c r="H39" i="1"/>
  <c r="G39" i="1"/>
  <c r="F39" i="1"/>
  <c r="E38" i="1"/>
  <c r="D38" i="1"/>
  <c r="C38" i="1"/>
  <c r="B38" i="1"/>
  <c r="E36" i="1"/>
  <c r="D36" i="1"/>
  <c r="C36" i="1"/>
  <c r="B36" i="1"/>
  <c r="E35" i="1"/>
  <c r="D35" i="1"/>
  <c r="C35" i="1"/>
  <c r="E33" i="1"/>
  <c r="E40" i="1" s="1"/>
  <c r="E46" i="1" s="1"/>
  <c r="D33" i="1"/>
  <c r="D40" i="1" s="1"/>
  <c r="D46" i="1" s="1"/>
  <c r="D49" i="1" s="1"/>
  <c r="D53" i="1" s="1"/>
  <c r="E31" i="1"/>
  <c r="D31" i="1"/>
  <c r="C31" i="1"/>
  <c r="B31" i="1"/>
  <c r="E29" i="1"/>
  <c r="D29" i="1"/>
  <c r="C29" i="1"/>
  <c r="C33" i="1" s="1"/>
  <c r="C40" i="1" s="1"/>
  <c r="C46" i="1" s="1"/>
  <c r="C49" i="1" s="1"/>
  <c r="C53" i="1" s="1"/>
  <c r="B29" i="1"/>
  <c r="E30" i="1" s="1"/>
  <c r="F30" i="1" s="1"/>
  <c r="E10" i="1"/>
  <c r="D10" i="1"/>
  <c r="C10" i="1"/>
  <c r="B10" i="1"/>
  <c r="B35" i="1" s="1"/>
  <c r="G4" i="1"/>
  <c r="G4" i="2" s="1"/>
  <c r="G4" i="3" s="1"/>
  <c r="F4" i="1"/>
  <c r="F4" i="2" s="1"/>
  <c r="F4" i="3" s="1"/>
  <c r="D4" i="1"/>
  <c r="C4" i="1"/>
  <c r="B4" i="1" s="1"/>
  <c r="B28" i="1" s="1"/>
  <c r="C28" i="1" s="1"/>
  <c r="D28" i="1" s="1"/>
  <c r="E28" i="1" s="1"/>
  <c r="F28" i="1" s="1"/>
  <c r="G28" i="1" s="1"/>
  <c r="H28" i="1" s="1"/>
  <c r="I28" i="1" s="1"/>
  <c r="J28" i="1" s="1"/>
  <c r="E49" i="1" l="1"/>
  <c r="E53" i="1" s="1"/>
  <c r="F48" i="1"/>
  <c r="F6" i="4"/>
  <c r="G30" i="1"/>
  <c r="F37" i="1"/>
  <c r="F36" i="1" s="1"/>
  <c r="F32" i="1"/>
  <c r="F31" i="1" s="1"/>
  <c r="F29" i="1"/>
  <c r="G22" i="2"/>
  <c r="D32" i="2"/>
  <c r="B33" i="1"/>
  <c r="B40" i="1" s="1"/>
  <c r="B46" i="1" s="1"/>
  <c r="B49" i="1" s="1"/>
  <c r="B53" i="1" s="1"/>
  <c r="F4" i="5"/>
  <c r="B15" i="5"/>
  <c r="F4" i="4"/>
  <c r="G4" i="5"/>
  <c r="G4" i="4"/>
  <c r="F12" i="2"/>
  <c r="B26" i="5"/>
  <c r="H4" i="1"/>
  <c r="B16" i="5" l="1"/>
  <c r="B17" i="5" s="1"/>
  <c r="G42" i="1"/>
  <c r="G8" i="3" s="1"/>
  <c r="H22" i="2"/>
  <c r="G37" i="1"/>
  <c r="G36" i="1" s="1"/>
  <c r="G32" i="1"/>
  <c r="G31" i="1" s="1"/>
  <c r="H30" i="1"/>
  <c r="G6" i="4"/>
  <c r="I4" i="1"/>
  <c r="H4" i="4"/>
  <c r="H4" i="5"/>
  <c r="H4" i="2"/>
  <c r="H4" i="3" s="1"/>
  <c r="F44" i="1"/>
  <c r="F18" i="2"/>
  <c r="F8" i="2"/>
  <c r="F12" i="3" s="1"/>
  <c r="F38" i="1"/>
  <c r="F35" i="1" s="1"/>
  <c r="F33" i="1"/>
  <c r="F9" i="2"/>
  <c r="F13" i="3" s="1"/>
  <c r="F7" i="2"/>
  <c r="F19" i="2"/>
  <c r="F15" i="3" s="1"/>
  <c r="G29" i="1"/>
  <c r="J20" i="5" l="1"/>
  <c r="I20" i="5"/>
  <c r="H20" i="5"/>
  <c r="G20" i="5"/>
  <c r="F20" i="5"/>
  <c r="F14" i="4"/>
  <c r="F11" i="3"/>
  <c r="F40" i="1"/>
  <c r="F7" i="4"/>
  <c r="G12" i="2"/>
  <c r="J4" i="1"/>
  <c r="I4" i="4"/>
  <c r="I4" i="5"/>
  <c r="I4" i="2"/>
  <c r="I4" i="3" s="1"/>
  <c r="F14" i="3"/>
  <c r="F20" i="2"/>
  <c r="F26" i="2" s="1"/>
  <c r="H37" i="1"/>
  <c r="H36" i="1" s="1"/>
  <c r="H32" i="1"/>
  <c r="H31" i="1" s="1"/>
  <c r="H6" i="4"/>
  <c r="I30" i="1"/>
  <c r="G8" i="2"/>
  <c r="G12" i="3" s="1"/>
  <c r="G38" i="1"/>
  <c r="G35" i="1" s="1"/>
  <c r="G33" i="1"/>
  <c r="G18" i="2"/>
  <c r="G9" i="2"/>
  <c r="G13" i="3" s="1"/>
  <c r="G19" i="2"/>
  <c r="G15" i="3" s="1"/>
  <c r="H29" i="1"/>
  <c r="G7" i="2"/>
  <c r="G44" i="1"/>
  <c r="G9" i="3" s="1"/>
  <c r="F25" i="2"/>
  <c r="F9" i="3"/>
  <c r="I22" i="2"/>
  <c r="I36" i="1" l="1"/>
  <c r="H35" i="1"/>
  <c r="I37" i="1"/>
  <c r="I32" i="1"/>
  <c r="I31" i="1" s="1"/>
  <c r="I6" i="4"/>
  <c r="J30" i="1"/>
  <c r="H8" i="2"/>
  <c r="H12" i="3" s="1"/>
  <c r="H38" i="1"/>
  <c r="H33" i="1"/>
  <c r="H9" i="2"/>
  <c r="H13" i="3" s="1"/>
  <c r="H18" i="2"/>
  <c r="I29" i="1"/>
  <c r="H7" i="2"/>
  <c r="H19" i="2"/>
  <c r="H15" i="3" s="1"/>
  <c r="H44" i="1"/>
  <c r="H9" i="3" s="1"/>
  <c r="G11" i="3"/>
  <c r="G14" i="4"/>
  <c r="J4" i="4"/>
  <c r="J4" i="5"/>
  <c r="J4" i="2"/>
  <c r="J4" i="3" s="1"/>
  <c r="H42" i="1"/>
  <c r="H8" i="3" s="1"/>
  <c r="H12" i="2"/>
  <c r="G40" i="1"/>
  <c r="G7" i="4"/>
  <c r="J22" i="2"/>
  <c r="G14" i="3"/>
  <c r="G20" i="2"/>
  <c r="F46" i="1"/>
  <c r="F11" i="4"/>
  <c r="G25" i="2"/>
  <c r="H25" i="2" s="1"/>
  <c r="F49" i="1" l="1"/>
  <c r="G48" i="1"/>
  <c r="F10" i="4"/>
  <c r="F8" i="4"/>
  <c r="G26" i="2"/>
  <c r="I18" i="2"/>
  <c r="J29" i="1"/>
  <c r="I19" i="2"/>
  <c r="I15" i="3" s="1"/>
  <c r="I7" i="2"/>
  <c r="I9" i="2"/>
  <c r="I13" i="3" s="1"/>
  <c r="I44" i="1"/>
  <c r="I9" i="3" s="1"/>
  <c r="I38" i="1"/>
  <c r="I35" i="1" s="1"/>
  <c r="I33" i="1"/>
  <c r="I8" i="2"/>
  <c r="I12" i="3" s="1"/>
  <c r="H14" i="3"/>
  <c r="H20" i="2"/>
  <c r="H26" i="2" s="1"/>
  <c r="H11" i="3"/>
  <c r="H14" i="4"/>
  <c r="I42" i="1"/>
  <c r="I8" i="3" s="1"/>
  <c r="I12" i="2"/>
  <c r="G46" i="1"/>
  <c r="G11" i="4"/>
  <c r="J6" i="4"/>
  <c r="J37" i="1"/>
  <c r="J32" i="1"/>
  <c r="J31" i="1" s="1"/>
  <c r="H7" i="4"/>
  <c r="H40" i="1"/>
  <c r="J36" i="1"/>
  <c r="H46" i="1" l="1"/>
  <c r="I11" i="3"/>
  <c r="I14" i="4"/>
  <c r="F51" i="1"/>
  <c r="F53" i="1" s="1"/>
  <c r="J12" i="2"/>
  <c r="J42" i="1"/>
  <c r="J8" i="3" s="1"/>
  <c r="I14" i="3"/>
  <c r="I20" i="2"/>
  <c r="I7" i="4"/>
  <c r="I40" i="1"/>
  <c r="I25" i="2"/>
  <c r="J25" i="2" s="1"/>
  <c r="G10" i="4"/>
  <c r="G8" i="4"/>
  <c r="G49" i="1"/>
  <c r="H48" i="1"/>
  <c r="H11" i="4" s="1"/>
  <c r="J9" i="2"/>
  <c r="J13" i="3" s="1"/>
  <c r="J44" i="1"/>
  <c r="J9" i="3" s="1"/>
  <c r="J19" i="2"/>
  <c r="J15" i="3" s="1"/>
  <c r="J7" i="2"/>
  <c r="J8" i="2"/>
  <c r="J12" i="3" s="1"/>
  <c r="J38" i="1"/>
  <c r="J35" i="1" s="1"/>
  <c r="J33" i="1"/>
  <c r="J18" i="2"/>
  <c r="F9" i="4" l="1"/>
  <c r="F7" i="3"/>
  <c r="F17" i="3" s="1"/>
  <c r="F28" i="2"/>
  <c r="F32" i="3"/>
  <c r="F36" i="3" s="1"/>
  <c r="I26" i="2"/>
  <c r="J20" i="2"/>
  <c r="J26" i="2" s="1"/>
  <c r="J14" i="3"/>
  <c r="J40" i="1"/>
  <c r="J7" i="4"/>
  <c r="G51" i="1"/>
  <c r="G53" i="1" s="1"/>
  <c r="H10" i="4"/>
  <c r="H8" i="4"/>
  <c r="H49" i="1"/>
  <c r="I48" i="1"/>
  <c r="I11" i="4" s="1"/>
  <c r="J11" i="3"/>
  <c r="J14" i="4"/>
  <c r="I46" i="1"/>
  <c r="G9" i="4" l="1"/>
  <c r="G7" i="3"/>
  <c r="G17" i="3" s="1"/>
  <c r="G32" i="3"/>
  <c r="G36" i="3" s="1"/>
  <c r="H51" i="1"/>
  <c r="H53" i="1" s="1"/>
  <c r="G28" i="2"/>
  <c r="F16" i="4"/>
  <c r="F30" i="2"/>
  <c r="F15" i="4"/>
  <c r="I10" i="4"/>
  <c r="I8" i="4"/>
  <c r="I49" i="1"/>
  <c r="J48" i="1"/>
  <c r="F18" i="4"/>
  <c r="F19" i="5"/>
  <c r="F21" i="5" s="1"/>
  <c r="F39" i="3"/>
  <c r="F42" i="3" s="1"/>
  <c r="J11" i="4"/>
  <c r="J46" i="1"/>
  <c r="H7" i="3" l="1"/>
  <c r="H17" i="3" s="1"/>
  <c r="H32" i="3"/>
  <c r="H36" i="3" s="1"/>
  <c r="H9" i="4"/>
  <c r="I51" i="1"/>
  <c r="I53" i="1" s="1"/>
  <c r="H28" i="2"/>
  <c r="G16" i="4"/>
  <c r="G30" i="2"/>
  <c r="G15" i="4"/>
  <c r="J10" i="4"/>
  <c r="J49" i="1"/>
  <c r="J8" i="4"/>
  <c r="G19" i="5"/>
  <c r="G21" i="5" s="1"/>
  <c r="G39" i="3"/>
  <c r="F6" i="2"/>
  <c r="F10" i="2" s="1"/>
  <c r="G41" i="3"/>
  <c r="G18" i="4"/>
  <c r="I7" i="3" l="1"/>
  <c r="I17" i="3" s="1"/>
  <c r="I32" i="3"/>
  <c r="I36" i="3" s="1"/>
  <c r="I9" i="4"/>
  <c r="J51" i="1"/>
  <c r="J53" i="1" s="1"/>
  <c r="I28" i="2"/>
  <c r="H16" i="4"/>
  <c r="H30" i="2"/>
  <c r="H15" i="4"/>
  <c r="G42" i="3"/>
  <c r="H18" i="4"/>
  <c r="F15" i="2"/>
  <c r="F13" i="4"/>
  <c r="H19" i="5"/>
  <c r="H21" i="5" s="1"/>
  <c r="H39" i="3"/>
  <c r="J7" i="3" l="1"/>
  <c r="J17" i="3" s="1"/>
  <c r="J32" i="3"/>
  <c r="J36" i="3" s="1"/>
  <c r="J9" i="4"/>
  <c r="J28" i="2"/>
  <c r="I16" i="4"/>
  <c r="I30" i="2"/>
  <c r="I15" i="4"/>
  <c r="G6" i="2"/>
  <c r="G10" i="2" s="1"/>
  <c r="H41" i="3"/>
  <c r="H42" i="3" s="1"/>
  <c r="I19" i="5"/>
  <c r="I21" i="5" s="1"/>
  <c r="I39" i="3"/>
  <c r="F32" i="2"/>
  <c r="F17" i="4"/>
  <c r="I18" i="4"/>
  <c r="H6" i="2" l="1"/>
  <c r="H10" i="2" s="1"/>
  <c r="I41" i="3"/>
  <c r="I42" i="3" s="1"/>
  <c r="J39" i="3"/>
  <c r="J19" i="5"/>
  <c r="J30" i="2"/>
  <c r="J16" i="4"/>
  <c r="J15" i="4"/>
  <c r="G13" i="4"/>
  <c r="G15" i="2"/>
  <c r="J18" i="4"/>
  <c r="B23" i="5" l="1"/>
  <c r="B24" i="5" s="1"/>
  <c r="B25" i="5" s="1"/>
  <c r="B27" i="5" s="1"/>
  <c r="J21" i="5"/>
  <c r="I6" i="2"/>
  <c r="I10" i="2" s="1"/>
  <c r="J41" i="3"/>
  <c r="J42" i="3" s="1"/>
  <c r="J6" i="2" s="1"/>
  <c r="J10" i="2" s="1"/>
  <c r="G32" i="2"/>
  <c r="G17" i="4"/>
  <c r="H13" i="4"/>
  <c r="H15" i="2"/>
  <c r="H32" i="2" l="1"/>
  <c r="H17" i="4"/>
  <c r="J13" i="4"/>
  <c r="J15" i="2"/>
  <c r="I13" i="4"/>
  <c r="I15" i="2"/>
  <c r="I32" i="2" l="1"/>
  <c r="I17" i="4"/>
  <c r="J32" i="2"/>
  <c r="J17" i="4"/>
</calcChain>
</file>

<file path=xl/sharedStrings.xml><?xml version="1.0" encoding="utf-8"?>
<sst xmlns="http://schemas.openxmlformats.org/spreadsheetml/2006/main" count="151" uniqueCount="134">
  <si>
    <t>EXCEL MODELING TEST</t>
  </si>
  <si>
    <t>Income Statement</t>
  </si>
  <si>
    <t>(INR, Millions)</t>
  </si>
  <si>
    <t>Net Sales</t>
  </si>
  <si>
    <t>Cost of Goods Sold</t>
  </si>
  <si>
    <t>SG&amp;A</t>
  </si>
  <si>
    <t>Fixed SG &amp;A</t>
  </si>
  <si>
    <t>Variable SG&amp;A</t>
  </si>
  <si>
    <t>Provision for warranty</t>
  </si>
  <si>
    <t>Depreciation</t>
  </si>
  <si>
    <t>Net Interest Expense</t>
  </si>
  <si>
    <t>Income Taxes</t>
  </si>
  <si>
    <t>Dividends</t>
  </si>
  <si>
    <t>Construct the Income Statement of the company showing Gross Profit, EBITDA, EBIT &amp; Net Profit</t>
  </si>
  <si>
    <t>Sales Growth (%)</t>
  </si>
  <si>
    <t>COGS</t>
  </si>
  <si>
    <t>COGS Growth (%)</t>
  </si>
  <si>
    <t>Gross Profit</t>
  </si>
  <si>
    <t>Fixed SG&amp;A Growth (%)</t>
  </si>
  <si>
    <t>Variable( as % of sales)</t>
  </si>
  <si>
    <t>EBITDA</t>
  </si>
  <si>
    <t>Depreciation (%)</t>
  </si>
  <si>
    <t>Provision for Warranty</t>
  </si>
  <si>
    <t>Provision (%)</t>
  </si>
  <si>
    <t>EBIT</t>
  </si>
  <si>
    <t>Interest</t>
  </si>
  <si>
    <t>PBT</t>
  </si>
  <si>
    <t>Tax</t>
  </si>
  <si>
    <t>Net Profit</t>
  </si>
  <si>
    <t>Dividend Payout</t>
  </si>
  <si>
    <t>Balance Sheet</t>
  </si>
  <si>
    <t>Cash and Equivalents</t>
  </si>
  <si>
    <t>Accounts Receivables</t>
  </si>
  <si>
    <t>Inventory</t>
  </si>
  <si>
    <t>Other Current Assets</t>
  </si>
  <si>
    <t>Current Assets</t>
  </si>
  <si>
    <t>Net Property, Plant and Equipment (Net Block)</t>
  </si>
  <si>
    <t>Other Long-term Assets (Land)</t>
  </si>
  <si>
    <t>Investment In Subsidiary</t>
  </si>
  <si>
    <t xml:space="preserve">  Total Assets</t>
  </si>
  <si>
    <t>Accounts Payable</t>
  </si>
  <si>
    <t>Other Current Liabilities</t>
  </si>
  <si>
    <t>Current Liabilities</t>
  </si>
  <si>
    <t>Debt</t>
  </si>
  <si>
    <t>Convertible Bond -2027</t>
  </si>
  <si>
    <t>Other Long-Term Liabilities</t>
  </si>
  <si>
    <t>Total Liabilities</t>
  </si>
  <si>
    <t>Shareholders' Equity</t>
  </si>
  <si>
    <t xml:space="preserve">  Total Liabilities and SHE</t>
  </si>
  <si>
    <t xml:space="preserve">  balance check</t>
  </si>
  <si>
    <t>Cash Flow Statement</t>
  </si>
  <si>
    <t>Cash From Operations</t>
  </si>
  <si>
    <t>Add: Depreciation</t>
  </si>
  <si>
    <t>Add: Provision</t>
  </si>
  <si>
    <t>Less: cash paid for warranty service</t>
  </si>
  <si>
    <t>(Increase)/Decrease in Receivables</t>
  </si>
  <si>
    <t>(Increase)/Decrease in Inventory</t>
  </si>
  <si>
    <t>(Increase)/Decrease in Other Current Assets</t>
  </si>
  <si>
    <t>Increase/(Decrease in Accounts Payable</t>
  </si>
  <si>
    <t>Increase/(Decrease in Other CL</t>
  </si>
  <si>
    <t>Cash (Used) in Investing Activities</t>
  </si>
  <si>
    <t>Capital Expenditures</t>
  </si>
  <si>
    <t>Investment in Subsidiary</t>
  </si>
  <si>
    <t>Cash (Used) in Financing Activities</t>
  </si>
  <si>
    <t>Debt Repaid</t>
  </si>
  <si>
    <t>Dividend Paid</t>
  </si>
  <si>
    <t>Net Cash Flow</t>
  </si>
  <si>
    <t>Beginning Cash Balance</t>
  </si>
  <si>
    <t>Ending Cash Balance</t>
  </si>
  <si>
    <t>Key Ratios</t>
  </si>
  <si>
    <t>Net Sales Growth %</t>
  </si>
  <si>
    <t>Gross Profit Margin</t>
  </si>
  <si>
    <t>EBIT Margin</t>
  </si>
  <si>
    <t>Net Profit Margin</t>
  </si>
  <si>
    <t>Interest Coverage Ratio</t>
  </si>
  <si>
    <t>Debt Service Coverage Ratio</t>
  </si>
  <si>
    <t>Retention Ratio</t>
  </si>
  <si>
    <t xml:space="preserve">Current Ratio </t>
  </si>
  <si>
    <t>Receivable Days</t>
  </si>
  <si>
    <t xml:space="preserve">Debt Equity </t>
  </si>
  <si>
    <t>Book Value (INR million)</t>
  </si>
  <si>
    <t>Return on Capital Employed</t>
  </si>
  <si>
    <t>Return on Equity</t>
  </si>
  <si>
    <t>FCFF Valuation</t>
  </si>
  <si>
    <t xml:space="preserve">Beta to beused for stock </t>
  </si>
  <si>
    <t>Riskfree rate (Rf)</t>
  </si>
  <si>
    <t>Market Rate of Return (Rm)</t>
  </si>
  <si>
    <t>Growth Rate</t>
  </si>
  <si>
    <t>Cost of Equity (Ke)</t>
  </si>
  <si>
    <t>Pre-tax Cost of Debt (Kd)</t>
  </si>
  <si>
    <t>After-tax Cost of Debt</t>
  </si>
  <si>
    <t>Weight of Equity  E/(D+E)</t>
  </si>
  <si>
    <t>Weight of Debt  D/(D+E)</t>
  </si>
  <si>
    <t>WACC</t>
  </si>
  <si>
    <t>Free Cash Flow to Firm (FCFF)</t>
  </si>
  <si>
    <t>Discount Factor</t>
  </si>
  <si>
    <t>PV of FCFF</t>
  </si>
  <si>
    <t>Terminal Value (end of 2029)</t>
  </si>
  <si>
    <t>PV of Terminal Value</t>
  </si>
  <si>
    <t>Enterprise Value</t>
  </si>
  <si>
    <t>Less: Net Debt (2024)</t>
  </si>
  <si>
    <t>Equity Value</t>
  </si>
  <si>
    <t>Working Capital and Balance Sheet</t>
  </si>
  <si>
    <t xml:space="preserve">Net Sales </t>
  </si>
  <si>
    <t xml:space="preserve">For 2025 - Sales grows by the CAGR of 2007-10 plus - </t>
  </si>
  <si>
    <t xml:space="preserve">Working capital:  Use the same proportions as a percentage </t>
  </si>
  <si>
    <t xml:space="preserve">For 2026 to 2029 - Sales grows at previous year's growth plus - </t>
  </si>
  <si>
    <t>of revenues as observed in previous year</t>
  </si>
  <si>
    <t>Other Long-term Assets:  Keep flat.</t>
  </si>
  <si>
    <t>Cost of Goods Sold (COGS)</t>
  </si>
  <si>
    <t>Other Long-term Liabilities:  Keep flat.</t>
  </si>
  <si>
    <t>C O G S Growth /Net Sales Growth ('11 &amp; '12)</t>
  </si>
  <si>
    <t>Debt: Company takes additional debt of US$10 million in 2025 &amp; repays US$3 million every year from 2026 to 29</t>
  </si>
  <si>
    <t xml:space="preserve">  (ie, if sales grows by 100%, COGS grows by90%)</t>
  </si>
  <si>
    <t>Convertible bond gets converted at the year mentioned with it</t>
  </si>
  <si>
    <t>C O G S growth /Net Sales Growth ('13 to '15)</t>
  </si>
  <si>
    <t>Dividend Payout ratio as % of net income</t>
  </si>
  <si>
    <t xml:space="preserve">  (ie, if sales grows by 100%, COGS grows by 92.5%)</t>
  </si>
  <si>
    <t>Investment in subsidiary: The company would buy controlling stake in a company in 2025</t>
  </si>
  <si>
    <t>for US$5 mn. It would sell 40% of it at cost in 2027 and remaining stake in 2029 at cost.</t>
  </si>
  <si>
    <t>Fixed SG&amp;A growth rate/Net Sales Growth</t>
  </si>
  <si>
    <t xml:space="preserve">  (ie, if sales grows by 10%, fixed SG&amp;A grows by 2.5%)</t>
  </si>
  <si>
    <t>Variable SG&amp;A as % of Net Sales</t>
  </si>
  <si>
    <t>Depreciation on Opening Net Block</t>
  </si>
  <si>
    <t>Provision for warranty (as a % of  Net Sales)</t>
  </si>
  <si>
    <t>Warranty service: The company is expected to incur the following</t>
  </si>
  <si>
    <t>cash expenditure for repair of products under warranty</t>
  </si>
  <si>
    <t>Tax Rate (every year)</t>
  </si>
  <si>
    <t>Interest Expense (on debt + convertible bond)</t>
  </si>
  <si>
    <t>Condition 1:</t>
  </si>
  <si>
    <t>Use beginning of year balance to calculate interest expense at</t>
  </si>
  <si>
    <t>Condition 2:</t>
  </si>
  <si>
    <t xml:space="preserve">If Interest coverage falls below 6 times, calculate interest expense </t>
  </si>
  <si>
    <t>for next year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</si>
</sst>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\$#,##0.00_);[Red]&quot;($&quot;#,##0.00\)"/>
    <numFmt numFmtId="165" formatCode="_([$€-2]* #,##0.00_);_([$€-2]* \(#,##0.00\);_([$€-2]* \-??_)"/>
    <numFmt numFmtId="166" formatCode="_(* #,##0.00_);_(* \(#,##0.00\);_(* \-??_);_(@_)"/>
    <numFmt numFmtId="167" formatCode="_(* #,##0.0_);_(* \(#,##0.0\);_(* \-??_);_(@_)"/>
    <numFmt numFmtId="168" formatCode="0.0%"/>
    <numFmt numFmtId="169" formatCode="0.0"/>
    <numFmt numFmtId="170" formatCode="0.0\x"/>
    <numFmt numFmtId="171" formatCode="0.00\x"/>
    <numFmt numFmtId="172" formatCode="_(* #,##0.00_);_(* \(#,##0.00\);_(* \-_);_(@_)"/>
    <numFmt numFmtId="173" formatCode="0.000"/>
    <numFmt numFmtId="174" formatCode="&quot;INR&quot;_(* #,##0.0_)&quot;mn&quot;;_(* \(#,##0.0\);_(* \-??_);_(@_)"/>
  </numFmts>
  <fonts count="17">
    <font>
      <sz val="10"/>
      <name val="Arial"/>
      <charset val="1"/>
    </font>
    <font>
      <sz val="10"/>
      <name val="Geneva"/>
      <charset val="1"/>
    </font>
    <font>
      <sz val="12"/>
      <name val="Arial"/>
      <family val="2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i/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7"/>
      <name val="Times New Roman"/>
      <family val="1"/>
      <charset val="1"/>
    </font>
    <font>
      <b/>
      <u/>
      <sz val="10"/>
      <name val="Times New Roman"/>
      <family val="1"/>
      <charset val="1"/>
    </font>
    <font>
      <b/>
      <sz val="8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FF00FF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u/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39988402966399123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6">
    <xf numFmtId="0" fontId="0" fillId="0" borderId="0"/>
    <xf numFmtId="166" fontId="3" fillId="0" borderId="0"/>
    <xf numFmtId="9" fontId="3" fillId="0" borderId="0"/>
    <xf numFmtId="4" fontId="1" fillId="0" borderId="0"/>
    <xf numFmtId="164" fontId="1" fillId="0" borderId="0"/>
    <xf numFmtId="0" fontId="2" fillId="0" borderId="0"/>
    <xf numFmtId="0" fontId="2" fillId="0" borderId="0"/>
    <xf numFmtId="165" fontId="3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4" fillId="0" borderId="0" xfId="0" applyFont="1" applyBorder="1" applyAlignment="1">
      <alignment horizontal="left" wrapText="1"/>
    </xf>
    <xf numFmtId="0" fontId="15" fillId="5" borderId="0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4" fillId="0" borderId="2" xfId="0" applyFont="1" applyBorder="1"/>
    <xf numFmtId="167" fontId="4" fillId="0" borderId="0" xfId="1" applyNumberFormat="1" applyFont="1"/>
    <xf numFmtId="168" fontId="4" fillId="0" borderId="0" xfId="2" applyNumberFormat="1" applyFont="1"/>
    <xf numFmtId="0" fontId="7" fillId="0" borderId="0" xfId="0" applyFont="1" applyAlignment="1">
      <alignment horizontal="left" indent="3"/>
    </xf>
    <xf numFmtId="167" fontId="7" fillId="0" borderId="0" xfId="1" applyNumberFormat="1" applyFont="1"/>
    <xf numFmtId="0" fontId="9" fillId="2" borderId="1" xfId="0" applyFont="1" applyFill="1" applyBorder="1"/>
    <xf numFmtId="167" fontId="4" fillId="2" borderId="1" xfId="1" applyNumberFormat="1" applyFont="1" applyFill="1" applyBorder="1"/>
    <xf numFmtId="0" fontId="8" fillId="0" borderId="1" xfId="1" applyNumberFormat="1" applyFont="1" applyBorder="1"/>
    <xf numFmtId="167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7" fontId="4" fillId="0" borderId="0" xfId="0" applyNumberFormat="1" applyFont="1"/>
    <xf numFmtId="166" fontId="4" fillId="0" borderId="0" xfId="0" applyNumberFormat="1" applyFont="1"/>
    <xf numFmtId="168" fontId="4" fillId="0" borderId="0" xfId="0" applyNumberFormat="1" applyFont="1"/>
    <xf numFmtId="167" fontId="8" fillId="0" borderId="0" xfId="0" applyNumberFormat="1" applyFont="1"/>
    <xf numFmtId="166" fontId="8" fillId="0" borderId="0" xfId="0" applyNumberFormat="1" applyFont="1"/>
    <xf numFmtId="166" fontId="4" fillId="3" borderId="0" xfId="0" applyNumberFormat="1" applyFont="1" applyFill="1"/>
    <xf numFmtId="169" fontId="4" fillId="0" borderId="0" xfId="0" applyNumberFormat="1" applyFont="1"/>
    <xf numFmtId="166" fontId="4" fillId="4" borderId="0" xfId="0" applyNumberFormat="1" applyFont="1" applyFill="1"/>
    <xf numFmtId="166" fontId="4" fillId="0" borderId="0" xfId="1" applyFont="1"/>
    <xf numFmtId="9" fontId="4" fillId="0" borderId="0" xfId="0" applyNumberFormat="1" applyFont="1"/>
    <xf numFmtId="0" fontId="8" fillId="0" borderId="1" xfId="0" applyFont="1" applyBorder="1"/>
    <xf numFmtId="0" fontId="4" fillId="0" borderId="0" xfId="0" applyFont="1" applyAlignment="1">
      <alignment horizontal="left" indent="1"/>
    </xf>
    <xf numFmtId="167" fontId="8" fillId="0" borderId="3" xfId="1" applyNumberFormat="1" applyFont="1" applyBorder="1"/>
    <xf numFmtId="167" fontId="8" fillId="0" borderId="4" xfId="1" applyNumberFormat="1" applyFont="1" applyBorder="1"/>
    <xf numFmtId="0" fontId="10" fillId="0" borderId="0" xfId="0" applyFont="1"/>
    <xf numFmtId="167" fontId="10" fillId="0" borderId="0" xfId="1" applyNumberFormat="1" applyFont="1"/>
    <xf numFmtId="0" fontId="11" fillId="0" borderId="0" xfId="0" applyFont="1"/>
    <xf numFmtId="167" fontId="4" fillId="0" borderId="1" xfId="1" applyNumberFormat="1" applyFont="1" applyBorder="1"/>
    <xf numFmtId="167" fontId="8" fillId="0" borderId="5" xfId="1" applyNumberFormat="1" applyFont="1" applyBorder="1"/>
    <xf numFmtId="0" fontId="12" fillId="0" borderId="0" xfId="0" applyFont="1"/>
    <xf numFmtId="167" fontId="13" fillId="0" borderId="6" xfId="1" applyNumberFormat="1" applyFont="1" applyBorder="1" applyAlignment="1">
      <alignment horizontal="right"/>
    </xf>
    <xf numFmtId="166" fontId="13" fillId="0" borderId="6" xfId="1" applyFont="1" applyBorder="1" applyAlignment="1">
      <alignment horizontal="right"/>
    </xf>
    <xf numFmtId="167" fontId="13" fillId="0" borderId="0" xfId="1" applyNumberFormat="1" applyFont="1" applyAlignment="1">
      <alignment horizontal="right"/>
    </xf>
    <xf numFmtId="0" fontId="14" fillId="0" borderId="0" xfId="0" applyFont="1"/>
    <xf numFmtId="166" fontId="0" fillId="0" borderId="0" xfId="0" applyNumberFormat="1"/>
    <xf numFmtId="167" fontId="4" fillId="0" borderId="4" xfId="1" applyNumberFormat="1" applyFont="1" applyBorder="1"/>
    <xf numFmtId="167" fontId="8" fillId="0" borderId="0" xfId="1" applyNumberFormat="1" applyFont="1"/>
    <xf numFmtId="9" fontId="4" fillId="0" borderId="0" xfId="2" applyFont="1"/>
    <xf numFmtId="170" fontId="4" fillId="0" borderId="0" xfId="0" applyNumberFormat="1" applyFont="1" applyAlignment="1">
      <alignment horizontal="right"/>
    </xf>
    <xf numFmtId="170" fontId="4" fillId="0" borderId="0" xfId="0" applyNumberFormat="1" applyFont="1"/>
    <xf numFmtId="168" fontId="4" fillId="0" borderId="0" xfId="1" applyNumberFormat="1" applyFont="1"/>
    <xf numFmtId="171" fontId="4" fillId="0" borderId="0" xfId="1" applyNumberFormat="1" applyFont="1"/>
    <xf numFmtId="169" fontId="4" fillId="0" borderId="0" xfId="1" applyNumberFormat="1" applyFont="1"/>
    <xf numFmtId="0" fontId="4" fillId="0" borderId="0" xfId="8" applyFont="1"/>
    <xf numFmtId="172" fontId="13" fillId="0" borderId="6" xfId="3" applyNumberFormat="1" applyFont="1" applyBorder="1" applyAlignment="1">
      <alignment horizontal="right"/>
    </xf>
    <xf numFmtId="10" fontId="13" fillId="0" borderId="7" xfId="4" applyNumberFormat="1" applyFont="1" applyBorder="1" applyAlignment="1">
      <alignment horizontal="right"/>
    </xf>
    <xf numFmtId="10" fontId="13" fillId="0" borderId="6" xfId="4" applyNumberFormat="1" applyFont="1" applyBorder="1" applyAlignment="1">
      <alignment horizontal="right"/>
    </xf>
    <xf numFmtId="9" fontId="13" fillId="0" borderId="8" xfId="4" applyNumberFormat="1" applyFont="1" applyBorder="1" applyAlignment="1">
      <alignment horizontal="right"/>
    </xf>
    <xf numFmtId="170" fontId="4" fillId="0" borderId="0" xfId="0" applyNumberFormat="1" applyFont="1" applyAlignment="1">
      <alignment horizontal="right"/>
    </xf>
    <xf numFmtId="10" fontId="0" fillId="0" borderId="0" xfId="0" applyNumberFormat="1"/>
    <xf numFmtId="168" fontId="0" fillId="0" borderId="0" xfId="0" applyNumberFormat="1"/>
    <xf numFmtId="10" fontId="4" fillId="0" borderId="0" xfId="0" applyNumberFormat="1" applyFont="1"/>
    <xf numFmtId="173" fontId="0" fillId="0" borderId="0" xfId="0" applyNumberFormat="1"/>
    <xf numFmtId="0" fontId="16" fillId="0" borderId="0" xfId="0" applyFont="1"/>
    <xf numFmtId="169" fontId="4" fillId="0" borderId="0" xfId="0" applyNumberFormat="1" applyFont="1" applyAlignment="1">
      <alignment horizontal="right"/>
    </xf>
    <xf numFmtId="9" fontId="4" fillId="0" borderId="0" xfId="2" applyFont="1" applyAlignment="1">
      <alignment horizontal="right"/>
    </xf>
    <xf numFmtId="174" fontId="4" fillId="0" borderId="0" xfId="1" applyNumberFormat="1" applyFont="1"/>
  </cellXfs>
  <cellStyles count="16">
    <cellStyle name="Comma" xfId="1" builtinId="3"/>
    <cellStyle name="Comma_Standard Test" xfId="3" xr:uid="{00000000-0005-0000-0000-000006000000}"/>
    <cellStyle name="Currency_Standard Test" xfId="4" xr:uid="{00000000-0005-0000-0000-000007000000}"/>
    <cellStyle name="e - Style2" xfId="5" xr:uid="{00000000-0005-0000-0000-000008000000}"/>
    <cellStyle name="ed - Style6" xfId="6" xr:uid="{00000000-0005-0000-0000-000009000000}"/>
    <cellStyle name="Euro" xfId="7" xr:uid="{00000000-0005-0000-0000-00000A000000}"/>
    <cellStyle name="Normal" xfId="0" builtinId="0"/>
    <cellStyle name="Normal_Standard Test" xfId="8" xr:uid="{00000000-0005-0000-0000-00000B000000}"/>
    <cellStyle name="o - Style1" xfId="9" xr:uid="{00000000-0005-0000-0000-00000C000000}"/>
    <cellStyle name="Percent" xfId="2" builtinId="5"/>
    <cellStyle name="Standard_budget_Oper_Mainten 21-7-99" xfId="10" xr:uid="{00000000-0005-0000-0000-00000D000000}"/>
    <cellStyle name="Style3" xfId="11" xr:uid="{00000000-0005-0000-0000-00000E000000}"/>
    <cellStyle name="Style4" xfId="12" xr:uid="{00000000-0005-0000-0000-00000F000000}"/>
    <cellStyle name="Style5" xfId="13" xr:uid="{00000000-0005-0000-0000-000010000000}"/>
    <cellStyle name="Style7" xfId="14" xr:uid="{00000000-0005-0000-0000-000011000000}"/>
    <cellStyle name="Style8" xfId="15" xr:uid="{00000000-0005-0000-0000-000012000000}"/>
  </cellStyles>
  <dxfs count="0"/>
  <tableStyles count="1" defaultTableStyle="TableStyleMedium2" defaultPivotStyle="PivotStyleLight16">
    <tableStyle name="Invisible" pivot="0" table="0" count="0" xr9:uid="{48B93D79-C656-4A37-9C95-1044202F64F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b-server\Air%20Taxi\My%20Documents\ShowTime%20Presentation\Board%20Meeting%20Oct%202001\aun_ugg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tcc1share\Finance_MAC\TEMP\baltcom99venturefinalplan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BP1998\OLD-BP98\BP98FO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r257/I:/FELICITA/BP98/BP98FOR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G3\GC\RNK\OPS\98\MONTH\DP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SYS\FELICITA\BP98\BP98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n"/>
      <sheetName val="multiples"/>
      <sheetName val="dcf"/>
      <sheetName val="epsdps"/>
      <sheetName val="income"/>
      <sheetName val="cash"/>
      <sheetName val="balance"/>
      <sheetName val="divsumm"/>
      <sheetName val="paytv_revenue"/>
      <sheetName val="paytv_costs"/>
      <sheetName val="saturn"/>
      <sheetName val="xyz"/>
      <sheetName val="interactive_tv"/>
      <sheetName val="isp"/>
      <sheetName val="mobile"/>
      <sheetName val="mmds"/>
      <sheetName val="tvsn"/>
      <sheetName val="corporate"/>
      <sheetName val="capex"/>
      <sheetName val="quarters"/>
      <sheetName val="GE3"/>
      <sheetName val="subvalue"/>
      <sheetName val="summary"/>
      <sheetName val="vision 2000"/>
    </sheetNames>
    <sheetDataSet>
      <sheetData sheetId="0"/>
      <sheetData sheetId="1"/>
      <sheetData sheetId="2">
        <row r="9">
          <cell r="C9">
            <v>0.47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man Valuation"/>
      <sheetName val="DLJ Valuation"/>
      <sheetName val="Assumptions"/>
      <sheetName val="Op Projection"/>
      <sheetName val="Income"/>
      <sheetName val="Capital"/>
      <sheetName val="Sources&amp;Uses"/>
      <sheetName val="Network"/>
      <sheetName val="Staffing"/>
      <sheetName val="Control"/>
      <sheetName val="Balance"/>
      <sheetName val="Stats-Pub"/>
      <sheetName val="Balance-Pub"/>
      <sheetName val="Income-Pub"/>
      <sheetName val="Cash Flow-Pub"/>
      <sheetName val="Export"/>
      <sheetName val="Macros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 2000"/>
      <sheetName val="1-OBJ98 "/>
      <sheetName val="TITLES"/>
      <sheetName val="01-MIN"/>
      <sheetName val="GR-CURRENCY"/>
      <sheetName val="03-MKT"/>
      <sheetName val="03-MKSH"/>
      <sheetName val="3-COMPET"/>
      <sheetName val="JAN"/>
    </sheetNames>
    <sheetDataSet>
      <sheetData sheetId="0">
        <row r="115">
          <cell r="B115" t="str">
            <v>ABLE TO CRUSH AND PROCESS</v>
          </cell>
        </row>
      </sheetData>
      <sheetData sheetId="1">
        <row r="1">
          <cell r="A1" t="str">
            <v>BUSINESS PLAN 1998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MIN"/>
      <sheetName val="GR-CURRENCY"/>
      <sheetName val="VISION 2000"/>
      <sheetName val="1-OBJ98 "/>
      <sheetName val="03-MKT"/>
      <sheetName val="03-MKSH"/>
      <sheetName val="3-COMPET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DPPGRAPH"/>
      <sheetName val="PGRAPH"/>
      <sheetName val="SERGRAP"/>
      <sheetName val="DEPQGRAPH"/>
      <sheetName val="GARAEQPGRAPH"/>
      <sheetName val="DATA"/>
      <sheetName val="prod"/>
    </sheetNames>
    <sheetDataSet>
      <sheetData sheetId="0">
        <row r="5">
          <cell r="AQ5" t="str">
            <v>/WGZY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OBJ98 "/>
      <sheetName val="01-MIN"/>
      <sheetName val="GR-CURRENCY"/>
      <sheetName val="VISION 2000"/>
      <sheetName val="3-COMPET"/>
      <sheetName val="exp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37" sqref="A37"/>
      <selection pane="bottomRight" activeCell="O22" sqref="O22"/>
    </sheetView>
  </sheetViews>
  <sheetFormatPr defaultColWidth="9.21875" defaultRowHeight="13.2"/>
  <cols>
    <col min="1" max="1" width="25.77734375" style="3" customWidth="1"/>
    <col min="2" max="3" width="10.77734375" style="3" customWidth="1"/>
    <col min="4" max="4" width="11.21875" style="3" customWidth="1"/>
    <col min="5" max="5" width="10.77734375" style="3" customWidth="1"/>
    <col min="6" max="6" width="8.21875" style="3" customWidth="1"/>
    <col min="7" max="7" width="10" style="3" customWidth="1"/>
    <col min="8" max="8" width="10.77734375" style="3" customWidth="1"/>
    <col min="9" max="9" width="10" style="3" customWidth="1"/>
    <col min="10" max="11" width="10.77734375" style="3" customWidth="1"/>
    <col min="12" max="16384" width="9.21875" style="3"/>
  </cols>
  <sheetData>
    <row r="1" spans="1:11" ht="15" customHeight="1">
      <c r="A1" s="4" t="s">
        <v>0</v>
      </c>
      <c r="B1" s="5"/>
    </row>
    <row r="2" spans="1:11" ht="15" customHeight="1">
      <c r="A2" s="6" t="s">
        <v>1</v>
      </c>
      <c r="B2" s="7"/>
      <c r="C2" s="8"/>
      <c r="D2" s="8"/>
      <c r="E2" s="8"/>
      <c r="F2" s="8"/>
      <c r="G2" s="8"/>
      <c r="H2" s="8"/>
      <c r="I2" s="8"/>
      <c r="J2" s="8"/>
    </row>
    <row r="3" spans="1:11">
      <c r="A3" s="9" t="s">
        <v>2</v>
      </c>
    </row>
    <row r="4" spans="1:11">
      <c r="B4" s="10">
        <f>C4-1</f>
        <v>2021</v>
      </c>
      <c r="C4" s="10">
        <f>D4-1</f>
        <v>2022</v>
      </c>
      <c r="D4" s="10">
        <f>E4-1</f>
        <v>2023</v>
      </c>
      <c r="E4" s="10">
        <v>2024</v>
      </c>
      <c r="F4" s="10">
        <f>+E4+1</f>
        <v>2025</v>
      </c>
      <c r="G4" s="10">
        <f>+F4+1</f>
        <v>2026</v>
      </c>
      <c r="H4" s="10">
        <f>+G4+1</f>
        <v>2027</v>
      </c>
      <c r="I4" s="10">
        <f>+H4+1</f>
        <v>2028</v>
      </c>
      <c r="J4" s="10">
        <f>+I4+1</f>
        <v>2029</v>
      </c>
    </row>
    <row r="5" spans="1:11">
      <c r="B5" s="11"/>
      <c r="C5" s="11"/>
      <c r="D5" s="11"/>
      <c r="E5" s="11"/>
      <c r="F5" s="11"/>
      <c r="G5" s="11"/>
      <c r="H5" s="11"/>
      <c r="I5" s="11"/>
      <c r="J5" s="11"/>
    </row>
    <row r="6" spans="1:11">
      <c r="A6" s="3" t="s">
        <v>3</v>
      </c>
      <c r="B6" s="12">
        <v>75.790000000000006</v>
      </c>
      <c r="C6" s="12">
        <v>94.26</v>
      </c>
      <c r="D6" s="12">
        <v>108.26</v>
      </c>
      <c r="E6" s="12">
        <v>125.1</v>
      </c>
      <c r="F6" s="12">
        <f>F29</f>
        <v>150.3467057426214</v>
      </c>
      <c r="G6" s="12">
        <f t="shared" ref="G6:J6" si="0">G29</f>
        <v>182.19197167499925</v>
      </c>
      <c r="H6" s="12">
        <f t="shared" si="0"/>
        <v>222.60437303932832</v>
      </c>
      <c r="I6" s="12">
        <f t="shared" si="0"/>
        <v>274.20678163374276</v>
      </c>
      <c r="J6" s="12">
        <f t="shared" si="0"/>
        <v>340.51332570915122</v>
      </c>
      <c r="K6" s="13"/>
    </row>
    <row r="7" spans="1:11">
      <c r="B7" s="12"/>
      <c r="C7" s="12"/>
      <c r="D7" s="12"/>
      <c r="E7" s="12"/>
      <c r="F7" s="12"/>
      <c r="G7" s="12"/>
      <c r="H7" s="12"/>
      <c r="I7" s="12"/>
      <c r="J7" s="12"/>
    </row>
    <row r="8" spans="1:11">
      <c r="A8" s="3" t="s">
        <v>4</v>
      </c>
      <c r="B8" s="12">
        <v>49.39</v>
      </c>
      <c r="C8" s="12">
        <v>59.83</v>
      </c>
      <c r="D8" s="12">
        <v>69.540000000000006</v>
      </c>
      <c r="E8" s="12">
        <v>81.77</v>
      </c>
      <c r="F8" s="12">
        <f>F31</f>
        <v>96.621964953770885</v>
      </c>
      <c r="G8" s="12">
        <f t="shared" ref="G8:J8" si="1">G31</f>
        <v>115.04110449059749</v>
      </c>
      <c r="H8" s="12">
        <f t="shared" si="1"/>
        <v>138.64481052620556</v>
      </c>
      <c r="I8" s="12">
        <f t="shared" si="1"/>
        <v>168.37390169248334</v>
      </c>
      <c r="J8" s="12">
        <f t="shared" si="1"/>
        <v>206.03514991969078</v>
      </c>
    </row>
    <row r="9" spans="1:11">
      <c r="B9" s="12"/>
      <c r="C9" s="12"/>
      <c r="D9" s="12"/>
      <c r="E9" s="12"/>
      <c r="F9" s="12"/>
      <c r="G9" s="12"/>
      <c r="H9" s="12"/>
      <c r="I9" s="12"/>
      <c r="J9" s="12"/>
    </row>
    <row r="10" spans="1:11">
      <c r="A10" s="3" t="s">
        <v>5</v>
      </c>
      <c r="B10" s="12">
        <f>SUM(B11:B12)</f>
        <v>22.6</v>
      </c>
      <c r="C10" s="12">
        <f>SUM(C11:C12)</f>
        <v>29.3</v>
      </c>
      <c r="D10" s="12">
        <f>SUM(D11:D12)</f>
        <v>32.5</v>
      </c>
      <c r="E10" s="12">
        <f>SUM(E11:E12)</f>
        <v>37.299999999999997</v>
      </c>
      <c r="F10" s="12">
        <f>F35</f>
        <v>39.792529742986076</v>
      </c>
      <c r="G10" s="12">
        <f t="shared" ref="G10:J10" si="2">G35</f>
        <v>44.049220972566573</v>
      </c>
      <c r="H10" s="12">
        <f t="shared" si="2"/>
        <v>49.219721675688874</v>
      </c>
      <c r="I10" s="12">
        <f t="shared" si="2"/>
        <v>55.555317200113812</v>
      </c>
      <c r="J10" s="12">
        <f t="shared" si="2"/>
        <v>63.389497240668781</v>
      </c>
    </row>
    <row r="11" spans="1:11" s="9" customFormat="1">
      <c r="A11" s="14" t="s">
        <v>6</v>
      </c>
      <c r="B11" s="15">
        <v>14</v>
      </c>
      <c r="C11" s="15">
        <v>20</v>
      </c>
      <c r="D11" s="15">
        <v>22</v>
      </c>
      <c r="E11" s="15">
        <v>25</v>
      </c>
      <c r="F11" s="15">
        <f>F36</f>
        <v>26.26132622615015</v>
      </c>
      <c r="G11" s="15">
        <f t="shared" ref="G11:J11" si="3">G36</f>
        <v>27.651943521816641</v>
      </c>
      <c r="H11" s="15">
        <f t="shared" si="3"/>
        <v>29.185328102149324</v>
      </c>
      <c r="I11" s="15">
        <f t="shared" si="3"/>
        <v>30.876706853076964</v>
      </c>
      <c r="J11" s="15">
        <f t="shared" si="3"/>
        <v>32.743297926845173</v>
      </c>
    </row>
    <row r="12" spans="1:11" s="9" customFormat="1">
      <c r="A12" s="14" t="s">
        <v>7</v>
      </c>
      <c r="B12" s="15">
        <v>8.6</v>
      </c>
      <c r="C12" s="15">
        <v>9.3000000000000007</v>
      </c>
      <c r="D12" s="15">
        <v>10.5</v>
      </c>
      <c r="E12" s="15">
        <v>12.3</v>
      </c>
      <c r="F12" s="15">
        <f>F38</f>
        <v>13.531203516835925</v>
      </c>
      <c r="G12" s="15">
        <f t="shared" ref="G12:J12" si="4">G38</f>
        <v>16.397277450749932</v>
      </c>
      <c r="H12" s="15">
        <f t="shared" si="4"/>
        <v>20.03439357353955</v>
      </c>
      <c r="I12" s="15">
        <f t="shared" si="4"/>
        <v>24.678610347036848</v>
      </c>
      <c r="J12" s="15">
        <f t="shared" si="4"/>
        <v>30.646199313823608</v>
      </c>
    </row>
    <row r="13" spans="1:11" s="9" customFormat="1">
      <c r="A13" s="14"/>
      <c r="B13" s="15"/>
      <c r="C13" s="15"/>
      <c r="D13" s="15"/>
      <c r="E13" s="15"/>
      <c r="F13" s="15"/>
      <c r="G13" s="15"/>
      <c r="H13" s="15"/>
      <c r="I13" s="15"/>
      <c r="J13" s="15"/>
    </row>
    <row r="14" spans="1:11" s="9" customFormat="1">
      <c r="A14" s="3" t="s">
        <v>8</v>
      </c>
      <c r="B14" s="15"/>
      <c r="C14" s="15"/>
      <c r="D14" s="15"/>
      <c r="E14" s="15">
        <v>0.2</v>
      </c>
      <c r="F14" s="15">
        <f>F44</f>
        <v>1.5034670574262139</v>
      </c>
      <c r="G14" s="15">
        <f t="shared" ref="G14:J14" si="5">G44</f>
        <v>1.8219197167499925</v>
      </c>
      <c r="H14" s="15">
        <f t="shared" si="5"/>
        <v>2.2260437303932834</v>
      </c>
      <c r="I14" s="15">
        <f t="shared" si="5"/>
        <v>2.7420678163374279</v>
      </c>
      <c r="J14" s="15">
        <f t="shared" si="5"/>
        <v>3.4051332570915123</v>
      </c>
    </row>
    <row r="15" spans="1:11" s="9" customFormat="1">
      <c r="A15" s="3"/>
      <c r="B15" s="15"/>
      <c r="C15" s="15"/>
      <c r="D15" s="15"/>
      <c r="E15" s="15"/>
      <c r="F15" s="15"/>
      <c r="G15" s="15"/>
      <c r="H15" s="15"/>
      <c r="I15" s="15"/>
      <c r="J15" s="15"/>
    </row>
    <row r="16" spans="1:11">
      <c r="A16" s="3" t="s">
        <v>9</v>
      </c>
      <c r="B16" s="12">
        <v>1.71</v>
      </c>
      <c r="C16" s="12">
        <v>2.1800000000000002</v>
      </c>
      <c r="D16" s="12">
        <v>2.81</v>
      </c>
      <c r="E16" s="12">
        <v>3.54</v>
      </c>
      <c r="F16" s="12">
        <f>F42</f>
        <v>2.7509999999999999</v>
      </c>
      <c r="G16" s="12">
        <f t="shared" ref="G16:J16" si="6">G42</f>
        <v>2.7133499999999997</v>
      </c>
      <c r="H16" s="12">
        <f t="shared" si="6"/>
        <v>2.6063475</v>
      </c>
      <c r="I16" s="12">
        <f t="shared" si="6"/>
        <v>2.065395375</v>
      </c>
      <c r="J16" s="12">
        <f t="shared" si="6"/>
        <v>2.3555860687500001</v>
      </c>
    </row>
    <row r="17" spans="1:10"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A18" s="3" t="s">
        <v>10</v>
      </c>
      <c r="B18" s="12">
        <v>0.27</v>
      </c>
      <c r="C18" s="12">
        <v>0.45</v>
      </c>
      <c r="D18" s="12">
        <v>0.32</v>
      </c>
      <c r="E18" s="12">
        <v>0.81</v>
      </c>
      <c r="F18" s="12">
        <f>F48</f>
        <v>1.4308000000000003</v>
      </c>
      <c r="G18" s="12">
        <f t="shared" ref="G18:J18" si="7">G48</f>
        <v>1.8264</v>
      </c>
      <c r="H18" s="12">
        <f t="shared" si="7"/>
        <v>1.6464000000000001</v>
      </c>
      <c r="I18" s="12">
        <f t="shared" si="7"/>
        <v>1.1664000000000001</v>
      </c>
      <c r="J18" s="12">
        <f t="shared" si="7"/>
        <v>0.98640000000000005</v>
      </c>
    </row>
    <row r="19" spans="1:10"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3" t="s">
        <v>11</v>
      </c>
      <c r="B20" s="12">
        <v>0.64050000000000196</v>
      </c>
      <c r="C20" s="12">
        <v>0.86100000000000199</v>
      </c>
      <c r="D20" s="12">
        <v>1.228</v>
      </c>
      <c r="E20" s="12">
        <v>0.68799999999999994</v>
      </c>
      <c r="F20" s="12">
        <f>F51</f>
        <v>2.4740831965314665</v>
      </c>
      <c r="G20" s="12">
        <f t="shared" ref="G20:J20" si="8">G51</f>
        <v>5.0219929485255594</v>
      </c>
      <c r="H20" s="12">
        <f t="shared" si="8"/>
        <v>8.4783148821121816</v>
      </c>
      <c r="I20" s="12">
        <f t="shared" si="8"/>
        <v>13.291109864942454</v>
      </c>
      <c r="J20" s="12">
        <f t="shared" si="8"/>
        <v>19.302467766885041</v>
      </c>
    </row>
    <row r="21" spans="1:10">
      <c r="B21" s="12"/>
      <c r="C21" s="12"/>
      <c r="D21" s="12"/>
      <c r="E21" s="12"/>
      <c r="F21" s="12"/>
      <c r="G21" s="12"/>
      <c r="H21" s="12"/>
      <c r="I21" s="12"/>
      <c r="J21" s="12"/>
    </row>
    <row r="22" spans="1:10">
      <c r="A22" s="3" t="s">
        <v>12</v>
      </c>
      <c r="B22" s="12">
        <v>0</v>
      </c>
      <c r="C22" s="12">
        <v>0</v>
      </c>
      <c r="D22" s="12">
        <v>0</v>
      </c>
      <c r="E22" s="12">
        <v>0</v>
      </c>
      <c r="F22" s="12">
        <f>F53*F54</f>
        <v>0.28864303959533777</v>
      </c>
      <c r="G22" s="12">
        <f t="shared" ref="G22:J22" si="9">G53*G54</f>
        <v>0.58589917732798191</v>
      </c>
      <c r="H22" s="12">
        <f t="shared" si="9"/>
        <v>0.98913673624642129</v>
      </c>
      <c r="I22" s="12">
        <f t="shared" si="9"/>
        <v>1.5506294842432862</v>
      </c>
      <c r="J22" s="12">
        <f t="shared" si="9"/>
        <v>2.2519545728032546</v>
      </c>
    </row>
    <row r="23" spans="1:10"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13.5" customHeight="1">
      <c r="A25" s="16" t="s">
        <v>13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B28" s="18">
        <f>B4</f>
        <v>2021</v>
      </c>
      <c r="C28" s="18">
        <f t="shared" ref="C28:J28" si="10">+B28+1</f>
        <v>2022</v>
      </c>
      <c r="D28" s="18">
        <f t="shared" si="10"/>
        <v>2023</v>
      </c>
      <c r="E28" s="18">
        <f t="shared" si="10"/>
        <v>2024</v>
      </c>
      <c r="F28" s="18">
        <f t="shared" si="10"/>
        <v>2025</v>
      </c>
      <c r="G28" s="18">
        <f t="shared" si="10"/>
        <v>2026</v>
      </c>
      <c r="H28" s="18">
        <f t="shared" si="10"/>
        <v>2027</v>
      </c>
      <c r="I28" s="18">
        <f t="shared" si="10"/>
        <v>2028</v>
      </c>
      <c r="J28" s="18">
        <f t="shared" si="10"/>
        <v>2029</v>
      </c>
    </row>
    <row r="29" spans="1:10">
      <c r="A29" s="3" t="s">
        <v>3</v>
      </c>
      <c r="B29" s="19">
        <f>B6</f>
        <v>75.790000000000006</v>
      </c>
      <c r="C29" s="19">
        <f>C6</f>
        <v>94.26</v>
      </c>
      <c r="D29" s="19">
        <f>D6</f>
        <v>108.26</v>
      </c>
      <c r="E29" s="19">
        <f>E6</f>
        <v>125.1</v>
      </c>
      <c r="F29" s="20">
        <f>E29*(1+F30)</f>
        <v>150.3467057426214</v>
      </c>
      <c r="G29" s="20">
        <f>F29*(1+G30)</f>
        <v>182.19197167499925</v>
      </c>
      <c r="H29" s="20">
        <f>G29*(1+H30)</f>
        <v>222.60437303932832</v>
      </c>
      <c r="I29" s="20">
        <f>H29*(1+I30)</f>
        <v>274.20678163374276</v>
      </c>
      <c r="J29" s="20">
        <f>I29*(1+J30)</f>
        <v>340.51332570915122</v>
      </c>
    </row>
    <row r="30" spans="1:10">
      <c r="A30" s="3" t="s">
        <v>14</v>
      </c>
      <c r="B30" s="13"/>
      <c r="C30" s="13"/>
      <c r="D30" s="13"/>
      <c r="E30" s="13">
        <f>(E29/B29)^(1/3)-1</f>
        <v>0.181812196184024</v>
      </c>
      <c r="F30" s="13">
        <f>E30+Instructions!$E$5</f>
        <v>0.20181219618402399</v>
      </c>
      <c r="G30" s="13">
        <f>F30+Instructions!$E$6</f>
        <v>0.211812196184024</v>
      </c>
      <c r="H30" s="13">
        <f>G30+Instructions!$E$6</f>
        <v>0.22181219618402401</v>
      </c>
      <c r="I30" s="13">
        <f>H30+Instructions!$E$6</f>
        <v>0.23181219618402402</v>
      </c>
      <c r="J30" s="13">
        <f>I30+Instructions!$E$6</f>
        <v>0.24181219618402403</v>
      </c>
    </row>
    <row r="31" spans="1:10">
      <c r="A31" s="3" t="s">
        <v>15</v>
      </c>
      <c r="B31" s="19">
        <f>B8</f>
        <v>49.39</v>
      </c>
      <c r="C31" s="19">
        <f>C8</f>
        <v>59.83</v>
      </c>
      <c r="D31" s="19">
        <f>D8</f>
        <v>69.540000000000006</v>
      </c>
      <c r="E31" s="19">
        <f>E8</f>
        <v>81.77</v>
      </c>
      <c r="F31" s="20">
        <f>E31*(1+F32)</f>
        <v>96.621964953770885</v>
      </c>
      <c r="G31" s="20">
        <f>F31*(1+G32)</f>
        <v>115.04110449059749</v>
      </c>
      <c r="H31" s="20">
        <f>G31*(1+H32)</f>
        <v>138.64481052620556</v>
      </c>
      <c r="I31" s="20">
        <f>H31*(1+I32)</f>
        <v>168.37390169248334</v>
      </c>
      <c r="J31" s="20">
        <f>I31*(1+J32)</f>
        <v>206.03514991969078</v>
      </c>
    </row>
    <row r="32" spans="1:10">
      <c r="A32" s="3" t="s">
        <v>16</v>
      </c>
      <c r="B32" s="13"/>
      <c r="C32" s="13"/>
      <c r="D32" s="13"/>
      <c r="E32" s="13"/>
      <c r="F32" s="13">
        <f>F30*Instructions!$E$9</f>
        <v>0.1816309765656216</v>
      </c>
      <c r="G32" s="13">
        <f>G30*Instructions!$E$9</f>
        <v>0.19063097656562161</v>
      </c>
      <c r="H32" s="13">
        <f>H30*Instructions!$E$11</f>
        <v>0.20517628147022221</v>
      </c>
      <c r="I32" s="13">
        <f>I30*Instructions!$E$11</f>
        <v>0.21442628147022222</v>
      </c>
      <c r="J32" s="13">
        <f>J30*Instructions!$E$11</f>
        <v>0.22367628147022223</v>
      </c>
    </row>
    <row r="33" spans="1:10" s="10" customFormat="1">
      <c r="A33" s="10" t="s">
        <v>17</v>
      </c>
      <c r="B33" s="21">
        <f t="shared" ref="B33:J33" si="11">B29-B31</f>
        <v>26.400000000000006</v>
      </c>
      <c r="C33" s="21">
        <f t="shared" si="11"/>
        <v>34.430000000000007</v>
      </c>
      <c r="D33" s="21">
        <f t="shared" si="11"/>
        <v>38.72</v>
      </c>
      <c r="E33" s="21">
        <f t="shared" si="11"/>
        <v>43.33</v>
      </c>
      <c r="F33" s="22">
        <f t="shared" si="11"/>
        <v>53.724740788850511</v>
      </c>
      <c r="G33" s="22">
        <f t="shared" si="11"/>
        <v>67.150867184401761</v>
      </c>
      <c r="H33" s="22">
        <f t="shared" si="11"/>
        <v>83.959562513122762</v>
      </c>
      <c r="I33" s="22">
        <f t="shared" si="11"/>
        <v>105.83287994125942</v>
      </c>
      <c r="J33" s="22">
        <f t="shared" si="11"/>
        <v>134.47817578946044</v>
      </c>
    </row>
    <row r="34" spans="1:10"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3" t="s">
        <v>5</v>
      </c>
      <c r="B35" s="23">
        <f t="shared" ref="B35:E36" si="12">B10</f>
        <v>22.6</v>
      </c>
      <c r="C35" s="23">
        <f t="shared" si="12"/>
        <v>29.3</v>
      </c>
      <c r="D35" s="23">
        <f t="shared" si="12"/>
        <v>32.5</v>
      </c>
      <c r="E35" s="23">
        <f t="shared" si="12"/>
        <v>37.299999999999997</v>
      </c>
      <c r="F35" s="24">
        <f>F36+F38</f>
        <v>39.792529742986076</v>
      </c>
      <c r="G35" s="24">
        <f>G36+G38</f>
        <v>44.049220972566573</v>
      </c>
      <c r="H35" s="24">
        <f>H36+H38</f>
        <v>49.219721675688874</v>
      </c>
      <c r="I35" s="24">
        <f>I36+I38</f>
        <v>55.555317200113812</v>
      </c>
      <c r="J35" s="24">
        <f>J36+J38</f>
        <v>63.389497240668781</v>
      </c>
    </row>
    <row r="36" spans="1:10">
      <c r="A36" s="14" t="s">
        <v>6</v>
      </c>
      <c r="B36" s="23">
        <f t="shared" si="12"/>
        <v>14</v>
      </c>
      <c r="C36" s="23">
        <f t="shared" si="12"/>
        <v>20</v>
      </c>
      <c r="D36" s="23">
        <f t="shared" si="12"/>
        <v>22</v>
      </c>
      <c r="E36" s="23">
        <f t="shared" si="12"/>
        <v>25</v>
      </c>
      <c r="F36" s="24">
        <f>E36*(1+F37)</f>
        <v>26.26132622615015</v>
      </c>
      <c r="G36" s="24">
        <f>F36*(1+G37)</f>
        <v>27.651943521816641</v>
      </c>
      <c r="H36" s="24">
        <f>G36*(1+H37)</f>
        <v>29.185328102149324</v>
      </c>
      <c r="I36" s="24">
        <f>H36*(1+I37)</f>
        <v>30.876706853076964</v>
      </c>
      <c r="J36" s="24">
        <f>I36*(1+J37)</f>
        <v>32.743297926845173</v>
      </c>
    </row>
    <row r="37" spans="1:10">
      <c r="A37" s="3" t="s">
        <v>18</v>
      </c>
      <c r="F37" s="13">
        <f>F30*Instructions!$E$15</f>
        <v>5.0453049046005997E-2</v>
      </c>
      <c r="G37" s="13">
        <f>G30*Instructions!$E$15</f>
        <v>5.2953049046006E-2</v>
      </c>
      <c r="H37" s="13">
        <f>H30*Instructions!$E$15</f>
        <v>5.5453049046006002E-2</v>
      </c>
      <c r="I37" s="13">
        <f>I30*Instructions!$E$15</f>
        <v>5.7953049046006004E-2</v>
      </c>
      <c r="J37" s="13">
        <f>J30*Instructions!$E$15</f>
        <v>6.0453049046006006E-2</v>
      </c>
    </row>
    <row r="38" spans="1:10">
      <c r="A38" s="14" t="s">
        <v>7</v>
      </c>
      <c r="B38" s="12">
        <f>B12</f>
        <v>8.6</v>
      </c>
      <c r="C38" s="12">
        <f>C12</f>
        <v>9.3000000000000007</v>
      </c>
      <c r="D38" s="12">
        <f>D12</f>
        <v>10.5</v>
      </c>
      <c r="E38" s="12">
        <f>E12</f>
        <v>12.3</v>
      </c>
      <c r="F38" s="24">
        <f>F29*F39</f>
        <v>13.531203516835925</v>
      </c>
      <c r="G38" s="24">
        <f>G29*G39</f>
        <v>16.397277450749932</v>
      </c>
      <c r="H38" s="24">
        <f>H29*H39</f>
        <v>20.03439357353955</v>
      </c>
      <c r="I38" s="24">
        <f>I29*I39</f>
        <v>24.678610347036848</v>
      </c>
      <c r="J38" s="24">
        <f>J29*J39</f>
        <v>30.646199313823608</v>
      </c>
    </row>
    <row r="39" spans="1:10">
      <c r="A39" s="3" t="s">
        <v>19</v>
      </c>
      <c r="F39" s="25">
        <f>Instructions!$E$18</f>
        <v>0.09</v>
      </c>
      <c r="G39" s="25">
        <f>Instructions!$E$18</f>
        <v>0.09</v>
      </c>
      <c r="H39" s="25">
        <f>Instructions!$E$18</f>
        <v>0.09</v>
      </c>
      <c r="I39" s="25">
        <f>Instructions!$E$18</f>
        <v>0.09</v>
      </c>
      <c r="J39" s="25">
        <f>Instructions!$E$18</f>
        <v>0.09</v>
      </c>
    </row>
    <row r="40" spans="1:10" s="10" customFormat="1">
      <c r="A40" s="10" t="s">
        <v>20</v>
      </c>
      <c r="B40" s="26">
        <f t="shared" ref="B40:J40" si="13">B33-B35</f>
        <v>3.8000000000000043</v>
      </c>
      <c r="C40" s="26">
        <f t="shared" si="13"/>
        <v>5.1300000000000061</v>
      </c>
      <c r="D40" s="26">
        <f t="shared" si="13"/>
        <v>6.2199999999999989</v>
      </c>
      <c r="E40" s="26">
        <f t="shared" si="13"/>
        <v>6.0300000000000011</v>
      </c>
      <c r="F40" s="27">
        <f t="shared" si="13"/>
        <v>13.932211045864435</v>
      </c>
      <c r="G40" s="27">
        <f t="shared" si="13"/>
        <v>23.101646211835188</v>
      </c>
      <c r="H40" s="27">
        <f t="shared" si="13"/>
        <v>34.739840837433889</v>
      </c>
      <c r="I40" s="27">
        <f t="shared" si="13"/>
        <v>50.277562741145609</v>
      </c>
      <c r="J40" s="27">
        <f t="shared" si="13"/>
        <v>71.088678548791648</v>
      </c>
    </row>
    <row r="42" spans="1:10">
      <c r="A42" s="3" t="s">
        <v>9</v>
      </c>
      <c r="B42" s="23">
        <f>B16</f>
        <v>1.71</v>
      </c>
      <c r="C42" s="23">
        <f>C16</f>
        <v>2.1800000000000002</v>
      </c>
      <c r="D42" s="23">
        <f>D16</f>
        <v>2.81</v>
      </c>
      <c r="E42" s="23">
        <f>E16</f>
        <v>3.54</v>
      </c>
      <c r="F42" s="24">
        <f>BS!E12*Instructions!$E$20</f>
        <v>2.7509999999999999</v>
      </c>
      <c r="G42" s="24">
        <f>BS!F12*Instructions!$E$20</f>
        <v>2.7133499999999997</v>
      </c>
      <c r="H42" s="24">
        <f>BS!G12*Instructions!$E$20</f>
        <v>2.6063475</v>
      </c>
      <c r="I42" s="24">
        <f>BS!H12*Instructions!$E$20</f>
        <v>2.065395375</v>
      </c>
      <c r="J42" s="24">
        <f>BS!I12*Instructions!$E$20</f>
        <v>2.3555860687500001</v>
      </c>
    </row>
    <row r="43" spans="1:10">
      <c r="A43" s="3" t="s">
        <v>21</v>
      </c>
      <c r="F43" s="25">
        <f>Instructions!$E$20</f>
        <v>0.15</v>
      </c>
      <c r="G43" s="25">
        <f>Instructions!$E$20</f>
        <v>0.15</v>
      </c>
      <c r="H43" s="25">
        <f>Instructions!$E$20</f>
        <v>0.15</v>
      </c>
      <c r="I43" s="25">
        <f>Instructions!$E$20</f>
        <v>0.15</v>
      </c>
      <c r="J43" s="25">
        <f>Instructions!$E$20</f>
        <v>0.15</v>
      </c>
    </row>
    <row r="44" spans="1:10">
      <c r="A44" s="3" t="s">
        <v>22</v>
      </c>
      <c r="B44" s="3">
        <v>0</v>
      </c>
      <c r="C44" s="3">
        <v>0</v>
      </c>
      <c r="D44" s="3">
        <v>0</v>
      </c>
      <c r="E44" s="23">
        <f>E14</f>
        <v>0.2</v>
      </c>
      <c r="F44" s="24">
        <f>F29*F45</f>
        <v>1.5034670574262139</v>
      </c>
      <c r="G44" s="24">
        <f>G29*G45</f>
        <v>1.8219197167499925</v>
      </c>
      <c r="H44" s="24">
        <f>H29*H45</f>
        <v>2.2260437303932834</v>
      </c>
      <c r="I44" s="28">
        <f>I29*I45</f>
        <v>2.7420678163374279</v>
      </c>
      <c r="J44" s="28">
        <f>J29*J45</f>
        <v>3.4051332570915123</v>
      </c>
    </row>
    <row r="45" spans="1:10">
      <c r="A45" s="3" t="s">
        <v>23</v>
      </c>
      <c r="F45" s="25">
        <f>Instructions!$E$22</f>
        <v>0.01</v>
      </c>
      <c r="G45" s="25">
        <f>Instructions!$E$22</f>
        <v>0.01</v>
      </c>
      <c r="H45" s="25">
        <f>Instructions!$E$22</f>
        <v>0.01</v>
      </c>
      <c r="I45" s="25">
        <f>Instructions!$E$22</f>
        <v>0.01</v>
      </c>
      <c r="J45" s="25">
        <f>Instructions!$E$22</f>
        <v>0.01</v>
      </c>
    </row>
    <row r="46" spans="1:10" s="10" customFormat="1">
      <c r="A46" s="10" t="s">
        <v>24</v>
      </c>
      <c r="B46" s="27">
        <f t="shared" ref="B46:J46" si="14">B40-B42-B44</f>
        <v>2.0900000000000043</v>
      </c>
      <c r="C46" s="27">
        <f t="shared" si="14"/>
        <v>2.950000000000006</v>
      </c>
      <c r="D46" s="27">
        <f t="shared" si="14"/>
        <v>3.4099999999999988</v>
      </c>
      <c r="E46" s="27">
        <f t="shared" si="14"/>
        <v>2.2900000000000009</v>
      </c>
      <c r="F46" s="27">
        <f t="shared" si="14"/>
        <v>9.6777439884382215</v>
      </c>
      <c r="G46" s="27">
        <f t="shared" si="14"/>
        <v>18.566376495085198</v>
      </c>
      <c r="H46" s="27">
        <f t="shared" si="14"/>
        <v>29.907449607040608</v>
      </c>
      <c r="I46" s="27">
        <f t="shared" si="14"/>
        <v>45.470099549808182</v>
      </c>
      <c r="J46" s="27">
        <f t="shared" si="14"/>
        <v>65.327959222950142</v>
      </c>
    </row>
    <row r="48" spans="1:10">
      <c r="A48" s="3" t="s">
        <v>25</v>
      </c>
      <c r="B48" s="29">
        <f>B18</f>
        <v>0.27</v>
      </c>
      <c r="C48" s="29">
        <f>C18</f>
        <v>0.45</v>
      </c>
      <c r="D48" s="29">
        <f>D18</f>
        <v>0.32</v>
      </c>
      <c r="E48" s="29">
        <f>E18</f>
        <v>0.81</v>
      </c>
      <c r="F48" s="30">
        <f>IF(E46/E48&lt;6,Instructions!$E$38,Instructions!$E$35)*(BS!E22+BS!E23)</f>
        <v>1.4308000000000003</v>
      </c>
      <c r="G48" s="28">
        <f>IF(F46/F48&lt;6,Instructions!$E$38,Instructions!$E$35)*(BS!F22+BS!F23)</f>
        <v>1.8264</v>
      </c>
      <c r="H48" s="28">
        <f>IF(G46/G48&lt;6,Instructions!$E$38,Instructions!$E$35)*(BS!G22+BS!G23)</f>
        <v>1.6464000000000001</v>
      </c>
      <c r="I48" s="28">
        <f>IF(H46/H48&lt;6,Instructions!$E$38,Instructions!$E$35)*(BS!H22+BS!H23)</f>
        <v>1.1664000000000001</v>
      </c>
      <c r="J48" s="28">
        <f>IF(I46/I48&lt;6,Instructions!$E$38,Instructions!$E$35)*(BS!I22+BS!I23)</f>
        <v>0.98640000000000005</v>
      </c>
    </row>
    <row r="49" spans="1:10" s="10" customFormat="1">
      <c r="A49" s="10" t="s">
        <v>26</v>
      </c>
      <c r="B49" s="26">
        <f t="shared" ref="B49:J49" si="15">B46-B48</f>
        <v>1.8200000000000043</v>
      </c>
      <c r="C49" s="26">
        <f t="shared" si="15"/>
        <v>2.5000000000000058</v>
      </c>
      <c r="D49" s="26">
        <f t="shared" si="15"/>
        <v>3.089999999999999</v>
      </c>
      <c r="E49" s="26">
        <f t="shared" si="15"/>
        <v>1.4800000000000009</v>
      </c>
      <c r="F49" s="27">
        <f t="shared" si="15"/>
        <v>8.2469439884382219</v>
      </c>
      <c r="G49" s="27">
        <f t="shared" si="15"/>
        <v>16.739976495085198</v>
      </c>
      <c r="H49" s="27">
        <f t="shared" si="15"/>
        <v>28.261049607040608</v>
      </c>
      <c r="I49" s="27">
        <f t="shared" si="15"/>
        <v>44.303699549808179</v>
      </c>
      <c r="J49" s="27">
        <f t="shared" si="15"/>
        <v>64.341559222950139</v>
      </c>
    </row>
    <row r="51" spans="1:10">
      <c r="A51" s="3" t="s">
        <v>27</v>
      </c>
      <c r="B51" s="12">
        <f>B20</f>
        <v>0.64050000000000196</v>
      </c>
      <c r="C51" s="12">
        <f>C20</f>
        <v>0.86100000000000199</v>
      </c>
      <c r="D51" s="12">
        <f>D20</f>
        <v>1.228</v>
      </c>
      <c r="E51" s="12">
        <f>E20</f>
        <v>0.68799999999999994</v>
      </c>
      <c r="F51" s="31">
        <f>F49*Instructions!$E$29</f>
        <v>2.4740831965314665</v>
      </c>
      <c r="G51" s="31">
        <f>G49*Instructions!$E$29</f>
        <v>5.0219929485255594</v>
      </c>
      <c r="H51" s="31">
        <f>H49*Instructions!$E$29</f>
        <v>8.4783148821121816</v>
      </c>
      <c r="I51" s="31">
        <f>I49*Instructions!$E$29</f>
        <v>13.291109864942454</v>
      </c>
      <c r="J51" s="31">
        <f>J49*Instructions!$E$29</f>
        <v>19.302467766885041</v>
      </c>
    </row>
    <row r="52" spans="1:10">
      <c r="F52" s="32"/>
      <c r="G52" s="32"/>
      <c r="H52" s="32"/>
      <c r="I52" s="32"/>
      <c r="J52" s="32"/>
    </row>
    <row r="53" spans="1:10" s="10" customFormat="1">
      <c r="A53" s="10" t="s">
        <v>28</v>
      </c>
      <c r="B53" s="26">
        <f t="shared" ref="B53:J53" si="16">B49-B51</f>
        <v>1.1795000000000022</v>
      </c>
      <c r="C53" s="26">
        <f t="shared" si="16"/>
        <v>1.6390000000000038</v>
      </c>
      <c r="D53" s="26">
        <f t="shared" si="16"/>
        <v>1.861999999999999</v>
      </c>
      <c r="E53" s="26">
        <f t="shared" si="16"/>
        <v>0.79200000000000093</v>
      </c>
      <c r="F53" s="27">
        <f t="shared" si="16"/>
        <v>5.7728607919067549</v>
      </c>
      <c r="G53" s="27">
        <f t="shared" si="16"/>
        <v>11.717983546559639</v>
      </c>
      <c r="H53" s="27">
        <f t="shared" si="16"/>
        <v>19.782734724928424</v>
      </c>
      <c r="I53" s="27">
        <f t="shared" si="16"/>
        <v>31.012589684865723</v>
      </c>
      <c r="J53" s="27">
        <f t="shared" si="16"/>
        <v>45.039091456065094</v>
      </c>
    </row>
    <row r="54" spans="1:10">
      <c r="A54" s="3" t="s">
        <v>29</v>
      </c>
      <c r="B54" s="23"/>
      <c r="C54" s="23"/>
      <c r="D54" s="23"/>
      <c r="E54" s="23"/>
      <c r="F54" s="25">
        <f>Instructions!$K$11</f>
        <v>0.05</v>
      </c>
      <c r="G54" s="25">
        <f>Instructions!$K$11</f>
        <v>0.05</v>
      </c>
      <c r="H54" s="25">
        <f>Instructions!$K$11</f>
        <v>0.05</v>
      </c>
      <c r="I54" s="25">
        <f>Instructions!$K$11</f>
        <v>0.05</v>
      </c>
      <c r="J54" s="25">
        <f>Instructions!$K$11</f>
        <v>0.05</v>
      </c>
    </row>
  </sheetData>
  <pageMargins left="0.5" right="0.5" top="0.5" bottom="0.5" header="0.511811023622047" footer="0.5"/>
  <pageSetup orientation="landscape" horizontalDpi="300" verticalDpi="300"/>
  <headerFooter>
    <oddFooter>&amp;L&amp;"Times New Roman,Italic"&amp;8 Pulsar Knowledge Centre&amp;C&amp;"Times New Roman,Italic"&amp;8 Page &amp;P of &amp;N&amp;R&amp;"Times New Roman,Italic"&amp;8 07-Apr-2003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8" sqref="F28"/>
    </sheetView>
  </sheetViews>
  <sheetFormatPr defaultColWidth="9.21875" defaultRowHeight="13.2"/>
  <cols>
    <col min="1" max="1" width="29.21875" style="3" customWidth="1"/>
    <col min="2" max="3" width="5.44140625" style="3" customWidth="1"/>
    <col min="4" max="10" width="10.77734375" style="3" customWidth="1"/>
    <col min="11" max="16384" width="9.21875" style="3"/>
  </cols>
  <sheetData>
    <row r="1" spans="1:10" ht="15" customHeight="1">
      <c r="A1" s="4" t="str">
        <f>INC!A1</f>
        <v>EXCEL MODELING TEST</v>
      </c>
      <c r="B1" s="5"/>
    </row>
    <row r="2" spans="1:10" ht="15" customHeight="1">
      <c r="A2" s="6" t="s">
        <v>30</v>
      </c>
      <c r="B2" s="7"/>
      <c r="C2" s="8"/>
      <c r="D2" s="8"/>
      <c r="E2" s="8"/>
      <c r="F2" s="8"/>
      <c r="G2" s="8"/>
      <c r="H2" s="8"/>
      <c r="I2" s="8"/>
      <c r="J2" s="8"/>
    </row>
    <row r="3" spans="1:10">
      <c r="A3" s="9" t="s">
        <v>2</v>
      </c>
    </row>
    <row r="4" spans="1:10">
      <c r="B4" s="33"/>
      <c r="C4" s="33"/>
      <c r="D4" s="10">
        <f>+INC!D4</f>
        <v>2023</v>
      </c>
      <c r="E4" s="10">
        <f>+INC!E4</f>
        <v>2024</v>
      </c>
      <c r="F4" s="10">
        <f>+INC!F4</f>
        <v>2025</v>
      </c>
      <c r="G4" s="10">
        <f>+INC!G4</f>
        <v>2026</v>
      </c>
      <c r="H4" s="10">
        <f>+INC!H4</f>
        <v>2027</v>
      </c>
      <c r="I4" s="10">
        <f>+INC!I4</f>
        <v>2028</v>
      </c>
      <c r="J4" s="10">
        <f>+INC!J4</f>
        <v>2029</v>
      </c>
    </row>
    <row r="5" spans="1:10">
      <c r="D5" s="11"/>
      <c r="E5" s="11"/>
      <c r="F5" s="11"/>
      <c r="G5" s="11"/>
      <c r="H5" s="11"/>
      <c r="I5" s="11"/>
      <c r="J5" s="11"/>
    </row>
    <row r="6" spans="1:10">
      <c r="A6" s="34" t="s">
        <v>31</v>
      </c>
      <c r="D6" s="12">
        <v>0.43</v>
      </c>
      <c r="E6" s="12">
        <v>1.03</v>
      </c>
      <c r="F6" s="31">
        <f>CFS!F42</f>
        <v>6.0720618938153397</v>
      </c>
      <c r="G6" s="31">
        <f>CFS!G42</f>
        <v>7.6618605589449116</v>
      </c>
      <c r="H6" s="31">
        <f>CFS!H42</f>
        <v>17.768215624127514</v>
      </c>
      <c r="I6" s="31">
        <f>CFS!I42</f>
        <v>30.328271386376592</v>
      </c>
      <c r="J6" s="31">
        <f>CFS!J42</f>
        <v>51.475317349843927</v>
      </c>
    </row>
    <row r="7" spans="1:10">
      <c r="A7" s="34" t="s">
        <v>32</v>
      </c>
      <c r="D7" s="12">
        <v>5.48</v>
      </c>
      <c r="E7" s="12">
        <v>5.82</v>
      </c>
      <c r="F7" s="31">
        <f>INC!F29*(E7/INC!E29)</f>
        <v>6.9945469817910206</v>
      </c>
      <c r="G7" s="31">
        <f>INC!G29*(F7/INC!F29)</f>
        <v>8.4760773393165127</v>
      </c>
      <c r="H7" s="31">
        <f>INC!H29*(G7/INC!G29)</f>
        <v>10.356174668975948</v>
      </c>
      <c r="I7" s="31">
        <f>INC!I29*(H7/INC!H29)</f>
        <v>12.75686226305662</v>
      </c>
      <c r="J7" s="31">
        <f>INC!J29*(I7/INC!I29)</f>
        <v>15.841627143303441</v>
      </c>
    </row>
    <row r="8" spans="1:10">
      <c r="A8" s="34" t="s">
        <v>33</v>
      </c>
      <c r="D8" s="12">
        <v>28.54</v>
      </c>
      <c r="E8" s="12">
        <v>31.44</v>
      </c>
      <c r="F8" s="31">
        <f>INC!F29*(E8/INC!E29)</f>
        <v>37.784975448025712</v>
      </c>
      <c r="G8" s="31">
        <f>INC!G29*(F8/INC!F29)</f>
        <v>45.78829408043147</v>
      </c>
      <c r="H8" s="31">
        <f>INC!H29*(G8/INC!G29)</f>
        <v>55.944696149931914</v>
      </c>
      <c r="I8" s="31">
        <f>INC!I29*(H8/INC!H29)</f>
        <v>68.913359029295549</v>
      </c>
      <c r="J8" s="31">
        <f>INC!J29*(I8/INC!I29)</f>
        <v>85.577449722587644</v>
      </c>
    </row>
    <row r="9" spans="1:10">
      <c r="A9" s="34" t="s">
        <v>34</v>
      </c>
      <c r="D9" s="12">
        <v>4.46</v>
      </c>
      <c r="E9" s="12">
        <v>5.69</v>
      </c>
      <c r="F9" s="31">
        <f>INC!F29*(E9/INC!E29)</f>
        <v>6.8383113962870974</v>
      </c>
      <c r="G9" s="31">
        <f>INC!G29*(F9/INC!F29)</f>
        <v>8.2867491513249067</v>
      </c>
      <c r="H9" s="31">
        <f>INC!H29*(G9/INC!G29)</f>
        <v>10.124851179806381</v>
      </c>
      <c r="I9" s="31">
        <f>INC!I29*(H9/INC!H29)</f>
        <v>12.471915167833703</v>
      </c>
      <c r="J9" s="31">
        <f>INC!J29*(I9/INC!I29)</f>
        <v>15.487776365188413</v>
      </c>
    </row>
    <row r="10" spans="1:10">
      <c r="A10" s="10" t="s">
        <v>35</v>
      </c>
      <c r="B10" s="10"/>
      <c r="C10" s="10"/>
      <c r="D10" s="35">
        <f t="shared" ref="D10:J10" si="0">+SUM(D6:D9)</f>
        <v>38.910000000000004</v>
      </c>
      <c r="E10" s="35">
        <f t="shared" si="0"/>
        <v>43.98</v>
      </c>
      <c r="F10" s="35">
        <f t="shared" si="0"/>
        <v>57.689895719919164</v>
      </c>
      <c r="G10" s="35">
        <f t="shared" si="0"/>
        <v>70.212981130017809</v>
      </c>
      <c r="H10" s="35">
        <f t="shared" si="0"/>
        <v>94.193937622841759</v>
      </c>
      <c r="I10" s="35">
        <f t="shared" si="0"/>
        <v>124.47040784656245</v>
      </c>
      <c r="J10" s="35">
        <f t="shared" si="0"/>
        <v>168.38217058092343</v>
      </c>
    </row>
    <row r="11" spans="1:10">
      <c r="D11" s="12"/>
      <c r="E11" s="12"/>
      <c r="F11" s="12"/>
      <c r="G11" s="12"/>
      <c r="H11" s="12"/>
      <c r="I11" s="12"/>
      <c r="J11" s="12"/>
    </row>
    <row r="12" spans="1:10">
      <c r="A12" s="34" t="s">
        <v>36</v>
      </c>
      <c r="D12" s="12">
        <v>17.100000000000001</v>
      </c>
      <c r="E12" s="12">
        <v>18.34</v>
      </c>
      <c r="F12" s="31">
        <f>E12-CFS!F20-INC!F42</f>
        <v>18.088999999999999</v>
      </c>
      <c r="G12" s="31">
        <f>F12-CFS!G20-INC!G42</f>
        <v>17.37565</v>
      </c>
      <c r="H12" s="31">
        <f>G12-CFS!H20-INC!H42</f>
        <v>13.7693025</v>
      </c>
      <c r="I12" s="31">
        <f>H12-CFS!I20-INC!I42</f>
        <v>15.703907125000002</v>
      </c>
      <c r="J12" s="31">
        <f>I12-CFS!J20-INC!J42</f>
        <v>18.848321056250001</v>
      </c>
    </row>
    <row r="13" spans="1:10">
      <c r="A13" s="34" t="s">
        <v>37</v>
      </c>
      <c r="D13" s="12">
        <v>3.59</v>
      </c>
      <c r="E13" s="12">
        <v>2.5099999999999998</v>
      </c>
      <c r="F13" s="31">
        <f>E13</f>
        <v>2.5099999999999998</v>
      </c>
      <c r="G13" s="31">
        <f>F13</f>
        <v>2.5099999999999998</v>
      </c>
      <c r="H13" s="31">
        <f>G13</f>
        <v>2.5099999999999998</v>
      </c>
      <c r="I13" s="31">
        <f>H13</f>
        <v>2.5099999999999998</v>
      </c>
      <c r="J13" s="31">
        <f>I13</f>
        <v>2.5099999999999998</v>
      </c>
    </row>
    <row r="14" spans="1:10">
      <c r="A14" s="34" t="s">
        <v>38</v>
      </c>
      <c r="D14" s="12">
        <v>0</v>
      </c>
      <c r="E14" s="12">
        <v>0</v>
      </c>
      <c r="F14" s="31">
        <f>E14-CFS!F21</f>
        <v>5</v>
      </c>
      <c r="G14" s="31">
        <f>F14-CFS!G21</f>
        <v>5</v>
      </c>
      <c r="H14" s="31">
        <f>G14-CFS!H21</f>
        <v>5</v>
      </c>
      <c r="I14" s="31">
        <f>H14-CFS!I21</f>
        <v>3</v>
      </c>
      <c r="J14" s="31">
        <f>I14-CFS!J21</f>
        <v>0</v>
      </c>
    </row>
    <row r="15" spans="1:10" ht="13.5" customHeight="1">
      <c r="A15" s="10" t="s">
        <v>39</v>
      </c>
      <c r="B15" s="10"/>
      <c r="C15" s="10"/>
      <c r="D15" s="36">
        <f>+SUM(D10,D12:D14)</f>
        <v>59.600000000000009</v>
      </c>
      <c r="E15" s="36">
        <f>+SUM(E10,E12:E14)</f>
        <v>64.83</v>
      </c>
      <c r="F15" s="36">
        <f>F10+F12+F13+F14</f>
        <v>83.288895719919168</v>
      </c>
      <c r="G15" s="36">
        <f>G10+G12+G13+G14</f>
        <v>95.098631130017807</v>
      </c>
      <c r="H15" s="36">
        <f>H10+H12+H13+H14</f>
        <v>115.47324012284176</v>
      </c>
      <c r="I15" s="36">
        <f>I10+I12+I13+I14</f>
        <v>145.68431497156246</v>
      </c>
      <c r="J15" s="36">
        <f>J10+J12+J13+J14</f>
        <v>189.74049163717342</v>
      </c>
    </row>
    <row r="16" spans="1:10" ht="13.5" customHeight="1">
      <c r="D16" s="12"/>
      <c r="E16" s="12"/>
      <c r="F16" s="12"/>
      <c r="G16" s="12"/>
      <c r="H16" s="12"/>
      <c r="I16" s="12"/>
      <c r="J16" s="12"/>
    </row>
    <row r="17" spans="1:10">
      <c r="D17" s="12"/>
      <c r="E17" s="12"/>
      <c r="F17" s="12"/>
      <c r="G17" s="12"/>
      <c r="H17" s="12"/>
      <c r="I17" s="12"/>
      <c r="J17" s="12"/>
    </row>
    <row r="18" spans="1:10">
      <c r="A18" s="34" t="s">
        <v>40</v>
      </c>
      <c r="D18" s="12">
        <v>6.67</v>
      </c>
      <c r="E18" s="12">
        <v>4.79</v>
      </c>
      <c r="F18" s="31">
        <f>INC!F29*(E18/INC!E29)</f>
        <v>5.7566804197214756</v>
      </c>
      <c r="G18" s="31">
        <f>INC!G29*(F18/INC!F29)</f>
        <v>6.9760155421522505</v>
      </c>
      <c r="H18" s="31">
        <f>INC!H29*(G18/INC!G29)</f>
        <v>8.523380870170925</v>
      </c>
      <c r="I18" s="31">
        <f>INC!I29*(H18/INC!H29)</f>
        <v>10.499204508598146</v>
      </c>
      <c r="J18" s="31">
        <f>INC!J29*(I18/INC!I29)</f>
        <v>13.03804020900747</v>
      </c>
    </row>
    <row r="19" spans="1:10">
      <c r="A19" s="34" t="s">
        <v>41</v>
      </c>
      <c r="D19" s="12">
        <v>4.12</v>
      </c>
      <c r="E19" s="12">
        <v>2.5</v>
      </c>
      <c r="F19" s="31">
        <f>INC!F29*(E19/INC!E29)</f>
        <v>3.00453049046006</v>
      </c>
      <c r="G19" s="31">
        <f>INC!G29*(F19/INC!F29)</f>
        <v>3.6409266921462682</v>
      </c>
      <c r="H19" s="31">
        <f>INC!H29*(G19/INC!G29)</f>
        <v>4.4485286378762661</v>
      </c>
      <c r="I19" s="31">
        <f>INC!I29*(H19/INC!H29)</f>
        <v>5.4797518312098878</v>
      </c>
      <c r="J19" s="31">
        <f>INC!J29*(I19/INC!I29)</f>
        <v>6.8048226560581782</v>
      </c>
    </row>
    <row r="20" spans="1:10">
      <c r="A20" s="10" t="s">
        <v>42</v>
      </c>
      <c r="B20" s="10"/>
      <c r="C20" s="10"/>
      <c r="D20" s="35">
        <f t="shared" ref="D20:J20" si="1">SUM(D18:D19)</f>
        <v>10.79</v>
      </c>
      <c r="E20" s="35">
        <f t="shared" si="1"/>
        <v>7.29</v>
      </c>
      <c r="F20" s="35">
        <f t="shared" si="1"/>
        <v>8.7612109101815356</v>
      </c>
      <c r="G20" s="35">
        <f t="shared" si="1"/>
        <v>10.616942234298518</v>
      </c>
      <c r="H20" s="35">
        <f t="shared" si="1"/>
        <v>12.97190950804719</v>
      </c>
      <c r="I20" s="35">
        <f t="shared" si="1"/>
        <v>15.978956339808033</v>
      </c>
      <c r="J20" s="35">
        <f t="shared" si="1"/>
        <v>19.842862865065648</v>
      </c>
    </row>
    <row r="21" spans="1:10">
      <c r="D21" s="12"/>
      <c r="E21" s="12"/>
      <c r="F21" s="12"/>
      <c r="G21" s="12"/>
      <c r="H21" s="12"/>
      <c r="I21" s="12"/>
      <c r="J21" s="12"/>
    </row>
    <row r="22" spans="1:10">
      <c r="A22" s="34" t="s">
        <v>43</v>
      </c>
      <c r="D22" s="12">
        <f>(0.11+12.53)-5</f>
        <v>7.6399999999999988</v>
      </c>
      <c r="E22" s="12">
        <f>(19.71+0.73)-5</f>
        <v>15.440000000000001</v>
      </c>
      <c r="F22" s="31">
        <f>E22+CFS!F30+CFS!F31</f>
        <v>25.44</v>
      </c>
      <c r="G22" s="31">
        <f>F22+CFS!G30+CFS!G31</f>
        <v>22.44</v>
      </c>
      <c r="H22" s="31">
        <f>G22+CFS!H30+CFS!H31</f>
        <v>19.440000000000001</v>
      </c>
      <c r="I22" s="31">
        <f>H22+CFS!I30+CFS!I31</f>
        <v>16.440000000000001</v>
      </c>
      <c r="J22" s="31">
        <f>I22+CFS!J30+CFS!J31</f>
        <v>13.440000000000001</v>
      </c>
    </row>
    <row r="23" spans="1:10">
      <c r="A23" s="34" t="s">
        <v>44</v>
      </c>
      <c r="D23" s="12">
        <v>5</v>
      </c>
      <c r="E23" s="12">
        <v>5</v>
      </c>
      <c r="F23" s="31">
        <f>E23</f>
        <v>5</v>
      </c>
      <c r="G23" s="31">
        <f>F23</f>
        <v>5</v>
      </c>
      <c r="H23" s="31">
        <v>0</v>
      </c>
      <c r="I23" s="31">
        <f>H23</f>
        <v>0</v>
      </c>
      <c r="J23" s="31">
        <f>I23</f>
        <v>0</v>
      </c>
    </row>
    <row r="24" spans="1:10">
      <c r="A24" s="34" t="s">
        <v>45</v>
      </c>
      <c r="D24" s="12">
        <v>0.15</v>
      </c>
      <c r="E24" s="12">
        <v>0.1</v>
      </c>
      <c r="F24" s="31">
        <f>E24</f>
        <v>0.1</v>
      </c>
      <c r="G24" s="31">
        <f>F24</f>
        <v>0.1</v>
      </c>
      <c r="H24" s="31">
        <f>G24</f>
        <v>0.1</v>
      </c>
      <c r="I24" s="31">
        <f>H24</f>
        <v>0.1</v>
      </c>
      <c r="J24" s="31">
        <f>I24</f>
        <v>0.1</v>
      </c>
    </row>
    <row r="25" spans="1:10">
      <c r="A25" s="34" t="s">
        <v>8</v>
      </c>
      <c r="D25" s="12"/>
      <c r="E25" s="12">
        <v>0.2</v>
      </c>
      <c r="F25" s="31">
        <f>E25+INC!F44</f>
        <v>1.7034670574262138</v>
      </c>
      <c r="G25" s="31">
        <f>F25+INC!G44</f>
        <v>3.5253867741762064</v>
      </c>
      <c r="H25" s="31">
        <f>G25+INC!H44</f>
        <v>5.7514305045694893</v>
      </c>
      <c r="I25" s="31">
        <f>H25+INC!I44-Instructions!$E$26</f>
        <v>6.4934983209069177</v>
      </c>
      <c r="J25" s="31">
        <f>I25+INC!J44-Instructions!$E$27</f>
        <v>6.8986315779984295</v>
      </c>
    </row>
    <row r="26" spans="1:10">
      <c r="A26" s="10" t="s">
        <v>46</v>
      </c>
      <c r="B26" s="10"/>
      <c r="C26" s="10"/>
      <c r="D26" s="35">
        <f t="shared" ref="D26:J26" si="2">SUM(D20,D22:D25)</f>
        <v>23.58</v>
      </c>
      <c r="E26" s="35">
        <f t="shared" si="2"/>
        <v>28.03</v>
      </c>
      <c r="F26" s="35">
        <f t="shared" si="2"/>
        <v>41.004677967607755</v>
      </c>
      <c r="G26" s="35">
        <f t="shared" si="2"/>
        <v>41.682329008474724</v>
      </c>
      <c r="H26" s="35">
        <f t="shared" si="2"/>
        <v>38.26334001261668</v>
      </c>
      <c r="I26" s="35">
        <f t="shared" si="2"/>
        <v>39.012454660714951</v>
      </c>
      <c r="J26" s="35">
        <f t="shared" si="2"/>
        <v>40.281494443064084</v>
      </c>
    </row>
    <row r="27" spans="1:10">
      <c r="D27" s="12"/>
      <c r="E27" s="12"/>
      <c r="F27" s="12"/>
      <c r="G27" s="12"/>
      <c r="H27" s="12"/>
      <c r="I27" s="12"/>
      <c r="J27" s="12"/>
    </row>
    <row r="28" spans="1:10">
      <c r="A28" s="3" t="s">
        <v>47</v>
      </c>
      <c r="D28" s="12">
        <v>36.020000000000003</v>
      </c>
      <c r="E28" s="12">
        <v>36.799999999999997</v>
      </c>
      <c r="F28" s="31">
        <f>E28+INC!F53+CFS!F32+(E23-F23)</f>
        <v>42.284217752311413</v>
      </c>
      <c r="G28" s="31">
        <f>F28+INC!G53+CFS!G32+(F23-G23)</f>
        <v>53.416302121543069</v>
      </c>
      <c r="H28" s="31">
        <f>G28+INC!H53+CFS!H32+(G23-H23)</f>
        <v>77.209900110225078</v>
      </c>
      <c r="I28" s="31">
        <f>H28+INC!I53+CFS!I32+(H23-I23)</f>
        <v>106.67186031084752</v>
      </c>
      <c r="J28" s="31">
        <f>I28+INC!J53+CFS!J32+(I23-J23)</f>
        <v>149.45899719410937</v>
      </c>
    </row>
    <row r="29" spans="1:10">
      <c r="D29" s="12"/>
      <c r="E29" s="12"/>
      <c r="F29" s="12"/>
      <c r="G29" s="12"/>
      <c r="H29" s="12"/>
      <c r="I29" s="12"/>
      <c r="J29" s="12"/>
    </row>
    <row r="30" spans="1:10" ht="13.5" customHeight="1">
      <c r="A30" s="10" t="s">
        <v>48</v>
      </c>
      <c r="B30" s="10"/>
      <c r="C30" s="10"/>
      <c r="D30" s="36">
        <f t="shared" ref="D30:J30" si="3">+D28+D26</f>
        <v>59.6</v>
      </c>
      <c r="E30" s="36">
        <f t="shared" si="3"/>
        <v>64.83</v>
      </c>
      <c r="F30" s="36">
        <f t="shared" si="3"/>
        <v>83.288895719919168</v>
      </c>
      <c r="G30" s="36">
        <f t="shared" si="3"/>
        <v>95.098631130017793</v>
      </c>
      <c r="H30" s="36">
        <f t="shared" si="3"/>
        <v>115.47324012284176</v>
      </c>
      <c r="I30" s="36">
        <f t="shared" si="3"/>
        <v>145.68431497156246</v>
      </c>
      <c r="J30" s="36">
        <f t="shared" si="3"/>
        <v>189.74049163717345</v>
      </c>
    </row>
    <row r="31" spans="1:10" ht="13.5" customHeight="1">
      <c r="D31" s="12"/>
      <c r="E31" s="12"/>
      <c r="F31" s="12"/>
      <c r="G31" s="12"/>
      <c r="H31" s="12"/>
      <c r="I31" s="12"/>
      <c r="J31" s="12"/>
    </row>
    <row r="32" spans="1:10" s="37" customFormat="1" ht="6.75" customHeight="1">
      <c r="A32" s="37" t="s">
        <v>49</v>
      </c>
      <c r="D32" s="38">
        <f t="shared" ref="D32:J32" si="4">+D15-D30</f>
        <v>0</v>
      </c>
      <c r="E32" s="38">
        <f t="shared" si="4"/>
        <v>0</v>
      </c>
      <c r="F32" s="38">
        <f t="shared" si="4"/>
        <v>0</v>
      </c>
      <c r="G32" s="38">
        <f t="shared" si="4"/>
        <v>0</v>
      </c>
      <c r="H32" s="38">
        <f t="shared" si="4"/>
        <v>0</v>
      </c>
      <c r="I32" s="38">
        <f t="shared" si="4"/>
        <v>0</v>
      </c>
      <c r="J32" s="38">
        <f t="shared" si="4"/>
        <v>0</v>
      </c>
    </row>
    <row r="33" spans="4:10">
      <c r="D33" s="12"/>
      <c r="E33" s="12"/>
      <c r="F33" s="12"/>
      <c r="G33" s="12"/>
      <c r="H33" s="12"/>
      <c r="I33" s="12"/>
      <c r="J33" s="12"/>
    </row>
  </sheetData>
  <pageMargins left="0.5" right="0.5" top="0.5" bottom="0.5" header="0.511811023622047" footer="0.5"/>
  <pageSetup orientation="landscape" horizontalDpi="300" verticalDpi="300"/>
  <headerFooter>
    <oddFooter>&amp;L&amp;"Times New Roman,Italic"&amp;8 Pulsar Knowledge Centre&amp;C&amp;"Times New Roman,Italic"&amp;8 Page &amp;P of &amp;N&amp;R&amp;"Times New Roman,Italic"&amp;8 07-Apr-2003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showGridLines="0" zoomScale="85" zoomScaleNormal="85" workbookViewId="0">
      <selection activeCell="A2" sqref="A2"/>
    </sheetView>
  </sheetViews>
  <sheetFormatPr defaultColWidth="9.21875" defaultRowHeight="13.2"/>
  <cols>
    <col min="1" max="1" width="29.21875" style="3" customWidth="1"/>
    <col min="2" max="5" width="3" style="3" customWidth="1"/>
    <col min="6" max="10" width="10.77734375" style="3" customWidth="1"/>
    <col min="11" max="16384" width="9.21875" style="3"/>
  </cols>
  <sheetData>
    <row r="1" spans="1:10" ht="15" customHeight="1">
      <c r="A1" s="4" t="str">
        <f>INC!A1</f>
        <v>EXCEL MODELING TEST</v>
      </c>
      <c r="B1" s="5"/>
    </row>
    <row r="2" spans="1:10" ht="15" customHeight="1">
      <c r="A2" s="6" t="s">
        <v>50</v>
      </c>
      <c r="B2" s="7"/>
      <c r="C2" s="8"/>
      <c r="D2" s="8"/>
      <c r="E2" s="8"/>
      <c r="F2" s="8"/>
      <c r="G2" s="8"/>
      <c r="H2" s="8"/>
      <c r="I2" s="8"/>
      <c r="J2" s="8"/>
    </row>
    <row r="3" spans="1:10">
      <c r="A3" s="9" t="s">
        <v>2</v>
      </c>
    </row>
    <row r="4" spans="1:10">
      <c r="F4" s="10">
        <f>+BS!F4</f>
        <v>2025</v>
      </c>
      <c r="G4" s="10">
        <f>+BS!G4</f>
        <v>2026</v>
      </c>
      <c r="H4" s="10">
        <f>+BS!H4</f>
        <v>2027</v>
      </c>
      <c r="I4" s="10">
        <f>+BS!I4</f>
        <v>2028</v>
      </c>
      <c r="J4" s="10">
        <f>+BS!J4</f>
        <v>2029</v>
      </c>
    </row>
    <row r="5" spans="1:10">
      <c r="F5" s="11"/>
      <c r="G5" s="11"/>
      <c r="H5" s="11"/>
      <c r="I5" s="11"/>
      <c r="J5" s="11"/>
    </row>
    <row r="6" spans="1:10">
      <c r="A6" s="39" t="s">
        <v>51</v>
      </c>
    </row>
    <row r="7" spans="1:10">
      <c r="A7" s="3" t="s">
        <v>28</v>
      </c>
      <c r="F7" s="31">
        <f>INC!F53</f>
        <v>5.7728607919067549</v>
      </c>
      <c r="G7" s="31">
        <f>INC!G53</f>
        <v>11.717983546559639</v>
      </c>
      <c r="H7" s="31">
        <f>INC!H53</f>
        <v>19.782734724928424</v>
      </c>
      <c r="I7" s="31">
        <f>INC!I53</f>
        <v>31.012589684865723</v>
      </c>
      <c r="J7" s="31">
        <f>INC!J53</f>
        <v>45.039091456065094</v>
      </c>
    </row>
    <row r="8" spans="1:10">
      <c r="A8" s="3" t="s">
        <v>52</v>
      </c>
      <c r="F8" s="31">
        <f>INC!F42</f>
        <v>2.7509999999999999</v>
      </c>
      <c r="G8" s="31">
        <f>INC!G42</f>
        <v>2.7133499999999997</v>
      </c>
      <c r="H8" s="31">
        <f>INC!H42</f>
        <v>2.6063475</v>
      </c>
      <c r="I8" s="31">
        <f>INC!I42</f>
        <v>2.065395375</v>
      </c>
      <c r="J8" s="31">
        <f>INC!J42</f>
        <v>2.3555860687500001</v>
      </c>
    </row>
    <row r="9" spans="1:10">
      <c r="A9" s="34" t="s">
        <v>53</v>
      </c>
      <c r="F9" s="31">
        <f>INC!F44</f>
        <v>1.5034670574262139</v>
      </c>
      <c r="G9" s="31">
        <f>INC!G44</f>
        <v>1.8219197167499925</v>
      </c>
      <c r="H9" s="31">
        <f>INC!H44</f>
        <v>2.2260437303932834</v>
      </c>
      <c r="I9" s="31">
        <f>INC!I44</f>
        <v>2.7420678163374279</v>
      </c>
      <c r="J9" s="31">
        <f>INC!J44</f>
        <v>3.4051332570915123</v>
      </c>
    </row>
    <row r="10" spans="1:10">
      <c r="A10" s="34" t="s">
        <v>54</v>
      </c>
      <c r="F10" s="31">
        <v>0</v>
      </c>
      <c r="G10" s="31">
        <v>0</v>
      </c>
      <c r="H10" s="31">
        <v>0</v>
      </c>
      <c r="I10" s="31">
        <f>-Instructions!$E$26</f>
        <v>-2</v>
      </c>
      <c r="J10" s="31">
        <f>-Instructions!$E$27</f>
        <v>-3</v>
      </c>
    </row>
    <row r="11" spans="1:10">
      <c r="A11" s="34" t="s">
        <v>55</v>
      </c>
      <c r="F11" s="31">
        <f>-(BS!F7-BS!E7)</f>
        <v>-1.1745469817910204</v>
      </c>
      <c r="G11" s="31">
        <f>-(BS!G7-BS!F7)</f>
        <v>-1.4815303575254921</v>
      </c>
      <c r="H11" s="31">
        <f>-(BS!H7-BS!G7)</f>
        <v>-1.880097329659435</v>
      </c>
      <c r="I11" s="31">
        <f>-(BS!I7-BS!H7)</f>
        <v>-2.4006875940806722</v>
      </c>
      <c r="J11" s="31">
        <f>-(BS!J7-BS!I7)</f>
        <v>-3.0847648802468211</v>
      </c>
    </row>
    <row r="12" spans="1:10">
      <c r="A12" s="34" t="s">
        <v>56</v>
      </c>
      <c r="F12" s="31">
        <f>-(BS!F8-BS!E8)</f>
        <v>-6.3449754480257106</v>
      </c>
      <c r="G12" s="31">
        <f>-(BS!G8-BS!F8)</f>
        <v>-8.0033186324057581</v>
      </c>
      <c r="H12" s="31">
        <f>-(BS!H8-BS!G8)</f>
        <v>-10.156402069500444</v>
      </c>
      <c r="I12" s="31">
        <f>-(BS!I8-BS!H8)</f>
        <v>-12.968662879363634</v>
      </c>
      <c r="J12" s="31">
        <f>-(BS!J8-BS!I8)</f>
        <v>-16.664090693292096</v>
      </c>
    </row>
    <row r="13" spans="1:10">
      <c r="A13" s="34" t="s">
        <v>57</v>
      </c>
      <c r="F13" s="31">
        <f>-(BS!F9-BS!E9)</f>
        <v>-1.148311396287097</v>
      </c>
      <c r="G13" s="31">
        <f>-(BS!G9-BS!F9)</f>
        <v>-1.4484377550378094</v>
      </c>
      <c r="H13" s="31">
        <f>-(BS!H9-BS!G9)</f>
        <v>-1.8381020284814742</v>
      </c>
      <c r="I13" s="31">
        <f>-(BS!I9-BS!H9)</f>
        <v>-2.3470639880273225</v>
      </c>
      <c r="J13" s="31">
        <f>-(BS!J9-BS!I9)</f>
        <v>-3.0158611973547096</v>
      </c>
    </row>
    <row r="14" spans="1:10">
      <c r="A14" s="34" t="s">
        <v>58</v>
      </c>
      <c r="F14" s="31">
        <f>BS!F18-BS!E18</f>
        <v>0.96668041972147556</v>
      </c>
      <c r="G14" s="31">
        <f>BS!G18-BS!F18</f>
        <v>1.2193351224307749</v>
      </c>
      <c r="H14" s="31">
        <f>BS!H18-BS!G18</f>
        <v>1.5473653280186745</v>
      </c>
      <c r="I14" s="31">
        <f>BS!I18-BS!H18</f>
        <v>1.9758236384272205</v>
      </c>
      <c r="J14" s="31">
        <f>BS!J18-BS!I18</f>
        <v>2.538835700409324</v>
      </c>
    </row>
    <row r="15" spans="1:10">
      <c r="A15" s="34" t="s">
        <v>59</v>
      </c>
      <c r="F15" s="31">
        <f>BS!F19-BS!E19</f>
        <v>0.50453049046006004</v>
      </c>
      <c r="G15" s="31">
        <f>BS!G19-BS!F19</f>
        <v>0.63639620168620814</v>
      </c>
      <c r="H15" s="31">
        <f>BS!H19-BS!G19</f>
        <v>0.80760194572999788</v>
      </c>
      <c r="I15" s="31">
        <f>BS!I19-BS!H19</f>
        <v>1.0312231933336218</v>
      </c>
      <c r="J15" s="31">
        <f>BS!J19-BS!I19</f>
        <v>1.3250708248482903</v>
      </c>
    </row>
    <row r="16" spans="1:10">
      <c r="F16" s="40"/>
      <c r="G16" s="40"/>
      <c r="H16" s="40"/>
      <c r="I16" s="40"/>
      <c r="J16" s="40"/>
    </row>
    <row r="17" spans="1:10">
      <c r="A17" s="10" t="s">
        <v>51</v>
      </c>
      <c r="F17" s="41">
        <f>SUM(F7:F16)</f>
        <v>2.8307049334106766</v>
      </c>
      <c r="G17" s="41">
        <f>SUM(G7:G16)</f>
        <v>7.1756978424575539</v>
      </c>
      <c r="H17" s="41">
        <f>SUM(H7:H16)</f>
        <v>13.095491801429024</v>
      </c>
      <c r="I17" s="41">
        <f>SUM(I7:I16)</f>
        <v>19.110685246492366</v>
      </c>
      <c r="J17" s="41">
        <f>SUM(J7:J16)</f>
        <v>28.899000536270592</v>
      </c>
    </row>
    <row r="18" spans="1:10">
      <c r="F18" s="12"/>
      <c r="G18" s="12"/>
      <c r="H18" s="12"/>
      <c r="I18" s="12"/>
      <c r="J18" s="12"/>
    </row>
    <row r="19" spans="1:10">
      <c r="A19" s="39" t="s">
        <v>60</v>
      </c>
      <c r="F19" s="12"/>
      <c r="G19" s="12"/>
      <c r="H19" s="12"/>
      <c r="I19" s="12"/>
      <c r="J19" s="12"/>
    </row>
    <row r="20" spans="1:10">
      <c r="A20" s="3" t="s">
        <v>61</v>
      </c>
      <c r="D20" s="42"/>
      <c r="E20" s="42"/>
      <c r="F20" s="43">
        <v>-2.5</v>
      </c>
      <c r="G20" s="43">
        <v>-2</v>
      </c>
      <c r="H20" s="43">
        <v>1</v>
      </c>
      <c r="I20" s="43">
        <v>-4</v>
      </c>
      <c r="J20" s="43">
        <v>-5.5</v>
      </c>
    </row>
    <row r="21" spans="1:10">
      <c r="A21" s="3" t="s">
        <v>62</v>
      </c>
      <c r="D21" s="42"/>
      <c r="E21" s="42"/>
      <c r="F21" s="43">
        <v>-5</v>
      </c>
      <c r="G21" s="43">
        <v>0</v>
      </c>
      <c r="H21" s="44">
        <v>0</v>
      </c>
      <c r="I21" s="43">
        <f>-0.4*F21</f>
        <v>2</v>
      </c>
      <c r="J21" s="43">
        <f>-0.6*F21</f>
        <v>3</v>
      </c>
    </row>
    <row r="22" spans="1:10">
      <c r="D22" s="42"/>
      <c r="E22" s="42"/>
      <c r="F22" s="45"/>
      <c r="G22" s="45"/>
      <c r="H22" s="45"/>
      <c r="I22" s="45"/>
      <c r="J22" s="45"/>
    </row>
    <row r="23" spans="1:10">
      <c r="D23" s="42"/>
      <c r="E23" s="42"/>
      <c r="F23" s="45"/>
      <c r="G23" s="45"/>
      <c r="H23" s="45"/>
      <c r="I23" s="45"/>
      <c r="J23" s="45"/>
    </row>
    <row r="24" spans="1:10">
      <c r="D24" s="42"/>
      <c r="E24" s="42"/>
      <c r="F24" s="45"/>
      <c r="G24" s="45"/>
      <c r="H24" s="45"/>
      <c r="I24" s="45"/>
      <c r="J24" s="45"/>
    </row>
    <row r="25" spans="1:10">
      <c r="F25" s="40"/>
      <c r="G25" s="40"/>
      <c r="H25" s="40"/>
      <c r="I25" s="40"/>
      <c r="J25" s="40"/>
    </row>
    <row r="26" spans="1:10">
      <c r="A26" s="10" t="s">
        <v>60</v>
      </c>
      <c r="F26" s="41">
        <f>SUM(F20:F21)</f>
        <v>-7.5</v>
      </c>
      <c r="G26" s="41">
        <f>SUM(G20:G21)</f>
        <v>-2</v>
      </c>
      <c r="H26" s="41">
        <f>SUM(H20:H21)</f>
        <v>1</v>
      </c>
      <c r="I26" s="41">
        <f>SUM(I20:I21)</f>
        <v>-2</v>
      </c>
      <c r="J26" s="41">
        <f>SUM(J20:J21)</f>
        <v>-2.5</v>
      </c>
    </row>
    <row r="27" spans="1:10">
      <c r="F27" s="12"/>
      <c r="G27" s="12"/>
      <c r="H27" s="12"/>
      <c r="I27" s="12"/>
      <c r="J27" s="12"/>
    </row>
    <row r="28" spans="1:10">
      <c r="F28" s="12"/>
      <c r="G28" s="12"/>
      <c r="H28" s="12"/>
      <c r="I28" s="12"/>
      <c r="J28" s="12"/>
    </row>
    <row r="29" spans="1:10">
      <c r="A29" s="39" t="s">
        <v>63</v>
      </c>
      <c r="F29" s="12"/>
      <c r="G29" s="12"/>
      <c r="H29" s="12"/>
      <c r="I29" s="12"/>
      <c r="J29" s="12"/>
    </row>
    <row r="30" spans="1:10" s="46" customFormat="1">
      <c r="A30" s="34" t="s">
        <v>43</v>
      </c>
      <c r="F30" s="31">
        <v>10</v>
      </c>
      <c r="G30" s="47">
        <v>0</v>
      </c>
      <c r="H30" s="47">
        <v>0</v>
      </c>
      <c r="I30" s="47">
        <v>0</v>
      </c>
      <c r="J30" s="47">
        <v>0</v>
      </c>
    </row>
    <row r="31" spans="1:10" s="46" customFormat="1">
      <c r="A31" s="3" t="s">
        <v>64</v>
      </c>
      <c r="F31" s="31">
        <v>0</v>
      </c>
      <c r="G31" s="31">
        <v>-3</v>
      </c>
      <c r="H31" s="31">
        <v>-3</v>
      </c>
      <c r="I31" s="31">
        <v>-3</v>
      </c>
      <c r="J31" s="31">
        <v>-3</v>
      </c>
    </row>
    <row r="32" spans="1:10" s="46" customFormat="1">
      <c r="A32" s="3" t="s">
        <v>65</v>
      </c>
      <c r="F32" s="31">
        <f>-INC!F53*INC!F54</f>
        <v>-0.28864303959533777</v>
      </c>
      <c r="G32" s="31">
        <f>-INC!G53*INC!G54</f>
        <v>-0.58589917732798191</v>
      </c>
      <c r="H32" s="31">
        <f>-INC!H53*INC!H54</f>
        <v>-0.98913673624642129</v>
      </c>
      <c r="I32" s="31">
        <f>-INC!I53*INC!I54</f>
        <v>-1.5506294842432862</v>
      </c>
      <c r="J32" s="31">
        <f>-INC!J53*INC!J54</f>
        <v>-2.2519545728032546</v>
      </c>
    </row>
    <row r="33" spans="1:10" s="46" customFormat="1">
      <c r="A33" s="3"/>
      <c r="F33" s="12"/>
      <c r="G33" s="12"/>
      <c r="H33" s="12"/>
      <c r="I33" s="12"/>
      <c r="J33" s="12"/>
    </row>
    <row r="34" spans="1:10" s="46" customFormat="1">
      <c r="A34" s="3"/>
      <c r="F34" s="12"/>
      <c r="G34" s="12"/>
      <c r="H34" s="12"/>
      <c r="I34" s="12"/>
      <c r="J34" s="12"/>
    </row>
    <row r="35" spans="1:10" s="46" customFormat="1">
      <c r="A35" s="3"/>
      <c r="F35" s="12"/>
      <c r="G35" s="12"/>
      <c r="H35" s="12"/>
      <c r="I35" s="12"/>
      <c r="J35" s="12"/>
    </row>
    <row r="36" spans="1:10" s="46" customFormat="1">
      <c r="A36" s="10" t="s">
        <v>63</v>
      </c>
      <c r="B36" s="3"/>
      <c r="C36" s="3"/>
      <c r="D36" s="3"/>
      <c r="E36" s="3"/>
      <c r="F36" s="41">
        <f>SUM(F30:F35)</f>
        <v>9.7113569604046628</v>
      </c>
      <c r="G36" s="41">
        <f>SUM(G31:G35)</f>
        <v>-3.585899177327982</v>
      </c>
      <c r="H36" s="41">
        <f>SUM(H31:H35)</f>
        <v>-3.9891367362464214</v>
      </c>
      <c r="I36" s="41">
        <f>SUM(I31:I35)</f>
        <v>-4.5506294842432862</v>
      </c>
      <c r="J36" s="41">
        <f>SUM(J31:J35)</f>
        <v>-5.2519545728032551</v>
      </c>
    </row>
    <row r="37" spans="1:10">
      <c r="F37" s="12"/>
      <c r="G37" s="12"/>
      <c r="H37" s="12"/>
      <c r="I37" s="12"/>
      <c r="J37" s="12"/>
    </row>
    <row r="38" spans="1:10">
      <c r="F38" s="12"/>
      <c r="G38" s="12"/>
      <c r="H38" s="12"/>
      <c r="I38" s="12"/>
      <c r="J38" s="12"/>
    </row>
    <row r="39" spans="1:10" ht="13.5" customHeight="1">
      <c r="A39" s="10" t="s">
        <v>66</v>
      </c>
      <c r="F39" s="48">
        <f>F17+F26+F36</f>
        <v>5.0420618938153394</v>
      </c>
      <c r="G39" s="48">
        <f>G17+G26+G36</f>
        <v>1.5897986651295719</v>
      </c>
      <c r="H39" s="48">
        <f>H17+H26+H36</f>
        <v>10.106355065182601</v>
      </c>
      <c r="I39" s="48">
        <f>I17+I26+I36</f>
        <v>12.56005576224908</v>
      </c>
      <c r="J39" s="48">
        <f>J17+J26+J36</f>
        <v>21.147045963467335</v>
      </c>
    </row>
    <row r="40" spans="1:10" ht="13.5" customHeight="1">
      <c r="F40" s="12"/>
      <c r="G40" s="12"/>
      <c r="H40" s="12"/>
      <c r="I40" s="12"/>
      <c r="J40" s="12"/>
    </row>
    <row r="41" spans="1:10">
      <c r="A41" s="3" t="s">
        <v>67</v>
      </c>
      <c r="F41" s="31">
        <f>BS!E6</f>
        <v>1.03</v>
      </c>
      <c r="G41" s="31">
        <f>F42</f>
        <v>6.0720618938153397</v>
      </c>
      <c r="H41" s="31">
        <f>G42</f>
        <v>7.6618605589449116</v>
      </c>
      <c r="I41" s="31">
        <f>H42</f>
        <v>17.768215624127514</v>
      </c>
      <c r="J41" s="31">
        <f>I42</f>
        <v>30.328271386376592</v>
      </c>
    </row>
    <row r="42" spans="1:10">
      <c r="A42" s="3" t="s">
        <v>68</v>
      </c>
      <c r="F42" s="49">
        <f>F41+F39</f>
        <v>6.0720618938153397</v>
      </c>
      <c r="G42" s="49">
        <f>G41+G39</f>
        <v>7.6618605589449116</v>
      </c>
      <c r="H42" s="49">
        <f>H41+H39</f>
        <v>17.768215624127514</v>
      </c>
      <c r="I42" s="49">
        <f>I41+I39</f>
        <v>30.328271386376592</v>
      </c>
      <c r="J42" s="49">
        <f>J41+J39</f>
        <v>51.475317349843927</v>
      </c>
    </row>
    <row r="43" spans="1:10">
      <c r="F43" s="12"/>
      <c r="G43" s="12"/>
      <c r="H43" s="12"/>
      <c r="I43" s="12"/>
      <c r="J43" s="12"/>
    </row>
    <row r="44" spans="1:10">
      <c r="F44" s="12"/>
      <c r="G44" s="12"/>
      <c r="H44" s="12"/>
      <c r="I44" s="12"/>
      <c r="J44" s="12"/>
    </row>
    <row r="45" spans="1:10">
      <c r="F45" s="12"/>
      <c r="G45" s="12"/>
      <c r="H45" s="12"/>
      <c r="I45" s="12"/>
      <c r="J45" s="12"/>
    </row>
    <row r="46" spans="1:10">
      <c r="F46" s="12"/>
      <c r="G46" s="12"/>
      <c r="H46" s="12"/>
      <c r="I46" s="12"/>
      <c r="J46" s="12"/>
    </row>
    <row r="47" spans="1:10">
      <c r="F47" s="12"/>
      <c r="G47" s="12"/>
      <c r="H47" s="12"/>
      <c r="I47" s="12"/>
      <c r="J47" s="12"/>
    </row>
    <row r="48" spans="1:10">
      <c r="F48" s="12"/>
      <c r="G48" s="12"/>
      <c r="H48" s="12"/>
      <c r="I48" s="12"/>
      <c r="J48" s="12"/>
    </row>
    <row r="49" spans="6:10">
      <c r="F49" s="12"/>
      <c r="G49" s="12"/>
      <c r="H49" s="12"/>
      <c r="I49" s="12"/>
      <c r="J49" s="12"/>
    </row>
  </sheetData>
  <pageMargins left="0.5" right="0.5" top="0.5" bottom="0.5" header="0.511811023622047" footer="0.5"/>
  <pageSetup scale="95" orientation="landscape" horizontalDpi="300" verticalDpi="300"/>
  <headerFooter>
    <oddFooter>&amp;L&amp;"Times New Roman,Italic"&amp;8 Pulsar Knowledge Centre&amp;C&amp;"Times New Roman,Italic"&amp;8 Page &amp;P of &amp;N&amp;R&amp;"Times New Roman,Italic"&amp;8 07-Apr-2003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showGridLines="0" zoomScale="85" zoomScaleNormal="85" workbookViewId="0">
      <selection activeCell="F8" sqref="F8"/>
    </sheetView>
  </sheetViews>
  <sheetFormatPr defaultColWidth="10.21875" defaultRowHeight="13.2"/>
  <cols>
    <col min="1" max="1" width="23.77734375" style="3" customWidth="1"/>
    <col min="2" max="2" width="3.21875" style="3" customWidth="1"/>
    <col min="3" max="4" width="4.77734375" style="3" customWidth="1"/>
    <col min="5" max="5" width="6.21875" style="3" customWidth="1"/>
    <col min="6" max="16384" width="10.21875" style="3"/>
  </cols>
  <sheetData>
    <row r="1" spans="1:11" ht="15" customHeight="1">
      <c r="A1" s="4" t="str">
        <f>INC!A1</f>
        <v>EXCEL MODELING TEST</v>
      </c>
      <c r="B1" s="5"/>
    </row>
    <row r="2" spans="1:11" ht="15" customHeight="1">
      <c r="A2" s="6" t="s">
        <v>69</v>
      </c>
      <c r="B2" s="7"/>
      <c r="C2" s="8"/>
      <c r="D2" s="8"/>
      <c r="E2" s="8"/>
      <c r="F2" s="8"/>
      <c r="G2" s="8"/>
      <c r="H2" s="8"/>
      <c r="I2" s="8"/>
      <c r="J2" s="8"/>
    </row>
    <row r="3" spans="1:11">
      <c r="A3" s="9" t="s">
        <v>2</v>
      </c>
    </row>
    <row r="4" spans="1:11">
      <c r="B4" s="33"/>
      <c r="C4" s="33"/>
      <c r="D4" s="33"/>
      <c r="E4" s="33"/>
      <c r="F4" s="33">
        <f>+INC!F4</f>
        <v>2025</v>
      </c>
      <c r="G4" s="33">
        <f>+INC!G4</f>
        <v>2026</v>
      </c>
      <c r="H4" s="33">
        <f>+INC!H4</f>
        <v>2027</v>
      </c>
      <c r="I4" s="33">
        <f>+INC!I4</f>
        <v>2028</v>
      </c>
      <c r="J4" s="33">
        <f>+INC!J4</f>
        <v>2029</v>
      </c>
    </row>
    <row r="5" spans="1:11">
      <c r="B5" s="10"/>
      <c r="C5" s="10"/>
      <c r="D5" s="10"/>
      <c r="E5" s="10"/>
      <c r="F5" s="10"/>
      <c r="G5" s="10"/>
      <c r="H5" s="10"/>
      <c r="I5" s="10"/>
      <c r="J5" s="10"/>
    </row>
    <row r="6" spans="1:11">
      <c r="A6" s="3" t="s">
        <v>70</v>
      </c>
      <c r="C6" s="50"/>
      <c r="D6" s="50"/>
      <c r="E6" s="50"/>
      <c r="F6" s="13">
        <f>INC!F30</f>
        <v>0.20181219618402399</v>
      </c>
      <c r="G6" s="13">
        <f>INC!G30</f>
        <v>0.211812196184024</v>
      </c>
      <c r="H6" s="13">
        <f>INC!H30</f>
        <v>0.22181219618402401</v>
      </c>
      <c r="I6" s="13">
        <f>INC!I30</f>
        <v>0.23181219618402402</v>
      </c>
      <c r="J6" s="13">
        <f>INC!J30</f>
        <v>0.24181219618402403</v>
      </c>
    </row>
    <row r="7" spans="1:11">
      <c r="A7" s="3" t="s">
        <v>71</v>
      </c>
      <c r="C7" s="50"/>
      <c r="D7" s="50"/>
      <c r="E7" s="50"/>
      <c r="F7" s="13">
        <f>INC!F33/INC!F29</f>
        <v>0.35733899538059666</v>
      </c>
      <c r="G7" s="13">
        <f>INC!G33/INC!G29</f>
        <v>0.36857204281310457</v>
      </c>
      <c r="H7" s="13">
        <f>INC!H33/INC!H29</f>
        <v>0.37716942109798229</v>
      </c>
      <c r="I7" s="13">
        <f>INC!I33/INC!I29</f>
        <v>0.3859601112368552</v>
      </c>
      <c r="J7" s="13">
        <f>INC!J33/INC!J29</f>
        <v>0.39492779176673015</v>
      </c>
    </row>
    <row r="8" spans="1:11">
      <c r="A8" s="3" t="s">
        <v>72</v>
      </c>
      <c r="C8" s="50"/>
      <c r="D8" s="50"/>
      <c r="E8" s="50"/>
      <c r="F8" s="13">
        <f>INC!F46/INC!F29</f>
        <v>6.4369511394586562E-2</v>
      </c>
      <c r="G8" s="13">
        <f>INC!G46/INC!G29</f>
        <v>0.10190556874923437</v>
      </c>
      <c r="H8" s="13">
        <f>INC!H46/INC!H29</f>
        <v>0.13435248013639314</v>
      </c>
      <c r="I8" s="13">
        <f>INC!I46/INC!I29</f>
        <v>0.16582412469485336</v>
      </c>
      <c r="J8" s="13">
        <f>INC!J46/INC!J29</f>
        <v>0.191851402839811</v>
      </c>
    </row>
    <row r="9" spans="1:11">
      <c r="A9" s="3" t="s">
        <v>73</v>
      </c>
      <c r="C9" s="50"/>
      <c r="D9" s="50"/>
      <c r="E9" s="50"/>
      <c r="F9" s="13">
        <f>INC!F53/INC!F29</f>
        <v>3.839698890236623E-2</v>
      </c>
      <c r="G9" s="13">
        <f>INC!G53/INC!G29</f>
        <v>6.4316684422640796E-2</v>
      </c>
      <c r="H9" s="13">
        <f>INC!H53/INC!H29</f>
        <v>8.8869479313568284E-2</v>
      </c>
      <c r="I9" s="13">
        <f>INC!I53/INC!I29</f>
        <v>0.11309928040470259</v>
      </c>
      <c r="J9" s="13">
        <f>INC!J53/INC!J29</f>
        <v>0.13226821993608304</v>
      </c>
    </row>
    <row r="10" spans="1:11">
      <c r="A10" s="3" t="s">
        <v>74</v>
      </c>
      <c r="F10" s="51">
        <f>INC!F46/INC!F48</f>
        <v>6.7638691560233575</v>
      </c>
      <c r="G10" s="51">
        <f>INC!G46/INC!G48</f>
        <v>10.165558746761496</v>
      </c>
      <c r="H10" s="51">
        <f>INC!H46/INC!H48</f>
        <v>18.16536054849405</v>
      </c>
      <c r="I10" s="51">
        <f>INC!I46/INC!I48</f>
        <v>38.983281507037191</v>
      </c>
      <c r="J10" s="51">
        <f>INC!J46/INC!J48</f>
        <v>66.228669123023252</v>
      </c>
    </row>
    <row r="11" spans="1:11">
      <c r="A11" s="3" t="s">
        <v>75</v>
      </c>
      <c r="F11" s="51">
        <f>INC!F40/(INC!F48-CFS!F31)</f>
        <v>9.7373574544761201</v>
      </c>
      <c r="G11" s="51">
        <f>INC!G40/(INC!G48-CFS!G31)</f>
        <v>4.7865171166573823</v>
      </c>
      <c r="H11" s="51">
        <f>INC!H40/(INC!H48-CFS!H31)</f>
        <v>7.4767219433182444</v>
      </c>
      <c r="I11" s="51">
        <f>INC!I40/(INC!I48-CFS!I31)</f>
        <v>12.067387370666667</v>
      </c>
      <c r="J11" s="51">
        <f>INC!J40/(INC!J48-CFS!J31)</f>
        <v>17.832801161145806</v>
      </c>
      <c r="K11" s="52"/>
    </row>
    <row r="12" spans="1:11">
      <c r="A12" s="3" t="s">
        <v>76</v>
      </c>
      <c r="F12" s="53">
        <f>1-INC!F54</f>
        <v>0.95</v>
      </c>
      <c r="G12" s="53">
        <f>1-INC!G54</f>
        <v>0.95</v>
      </c>
      <c r="H12" s="53">
        <f>1-INC!H54</f>
        <v>0.95</v>
      </c>
      <c r="I12" s="53">
        <f>1-INC!I54</f>
        <v>0.95</v>
      </c>
      <c r="J12" s="53">
        <f>1-INC!J54</f>
        <v>0.95</v>
      </c>
    </row>
    <row r="13" spans="1:11">
      <c r="A13" s="3" t="s">
        <v>77</v>
      </c>
      <c r="F13" s="54">
        <f>BS!F10/BS!F20</f>
        <v>6.5846943203794881</v>
      </c>
      <c r="G13" s="54">
        <f>BS!G10/BS!G20</f>
        <v>6.6132959547610195</v>
      </c>
      <c r="H13" s="54">
        <f>BS!H10/BS!H20</f>
        <v>7.2613779462775367</v>
      </c>
      <c r="I13" s="54">
        <f>BS!I10/BS!I20</f>
        <v>7.7896456564232537</v>
      </c>
      <c r="J13" s="54">
        <f>BS!J10/BS!J20</f>
        <v>8.4857800875784246</v>
      </c>
    </row>
    <row r="14" spans="1:11">
      <c r="A14" s="3" t="s">
        <v>78</v>
      </c>
      <c r="F14" s="55">
        <f>BS!F7/INC!F29*365</f>
        <v>16.980815347721826</v>
      </c>
      <c r="G14" s="55">
        <f>BS!G7/INC!G29*365</f>
        <v>16.980815347721826</v>
      </c>
      <c r="H14" s="55">
        <f>BS!H7/INC!H29*365</f>
        <v>16.980815347721826</v>
      </c>
      <c r="I14" s="55">
        <f>BS!I7/INC!I29*365</f>
        <v>16.980815347721826</v>
      </c>
      <c r="J14" s="55">
        <f>BS!J7/INC!J29*365</f>
        <v>16.980815347721826</v>
      </c>
    </row>
    <row r="15" spans="1:11">
      <c r="A15" s="3" t="s">
        <v>79</v>
      </c>
      <c r="E15" s="12"/>
      <c r="F15" s="54">
        <f>(BS!F22+BS!F23)/BS!F28</f>
        <v>0.71989034249867467</v>
      </c>
      <c r="G15" s="54">
        <f>(BS!G22+BS!G23)/BS!G28</f>
        <v>0.51370085367503016</v>
      </c>
      <c r="H15" s="54">
        <f>(BS!H22+BS!H23)/BS!H28</f>
        <v>0.251781183141636</v>
      </c>
      <c r="I15" s="54">
        <f>(BS!I22+BS!I23)/BS!I28</f>
        <v>0.15411749595528718</v>
      </c>
      <c r="J15" s="54">
        <f>(BS!J22+BS!J23)/BS!J28</f>
        <v>8.9924328761184225E-2</v>
      </c>
    </row>
    <row r="16" spans="1:11">
      <c r="A16" s="3" t="s">
        <v>80</v>
      </c>
      <c r="F16" s="31">
        <f>BS!F28</f>
        <v>42.284217752311413</v>
      </c>
      <c r="G16" s="31">
        <f>BS!G28</f>
        <v>53.416302121543069</v>
      </c>
      <c r="H16" s="31">
        <f>BS!H28</f>
        <v>77.209900110225078</v>
      </c>
      <c r="I16" s="31">
        <f>BS!I28</f>
        <v>106.67186031084752</v>
      </c>
      <c r="J16" s="31">
        <f>BS!J28</f>
        <v>149.45899719410937</v>
      </c>
    </row>
    <row r="17" spans="1:10">
      <c r="A17" s="3" t="s">
        <v>81</v>
      </c>
      <c r="F17" s="13">
        <f>INC!F46/(BS!F15-BS!F20)</f>
        <v>0.12985434893281089</v>
      </c>
      <c r="G17" s="13">
        <f>INC!G46/(BS!G15-BS!G20)</f>
        <v>0.21976805551322212</v>
      </c>
      <c r="H17" s="13">
        <f>INC!H46/(BS!H15-BS!H20)</f>
        <v>0.29177620844196051</v>
      </c>
      <c r="I17" s="13">
        <f>INC!I46/(BS!I15-BS!I20)</f>
        <v>0.35056454127621683</v>
      </c>
      <c r="J17" s="13">
        <f>INC!J46/(BS!J15-BS!J20)</f>
        <v>0.38451366093271272</v>
      </c>
    </row>
    <row r="18" spans="1:10">
      <c r="A18" s="3" t="s">
        <v>82</v>
      </c>
      <c r="F18" s="13">
        <f>INC!F53/BS!F28</f>
        <v>0.1365251883272971</v>
      </c>
      <c r="G18" s="13">
        <f>INC!G53/BS!G28</f>
        <v>0.21937092387819404</v>
      </c>
      <c r="H18" s="13">
        <f>INC!H53/BS!H28</f>
        <v>0.25622018286109083</v>
      </c>
      <c r="I18" s="13">
        <f>INC!I53/BS!I28</f>
        <v>0.29072887258639135</v>
      </c>
      <c r="J18" s="13">
        <f>INC!J53/BS!J28</f>
        <v>0.30134747523811312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showGridLines="0" zoomScale="85" zoomScaleNormal="85" workbookViewId="0">
      <selection activeCell="F19" sqref="F19"/>
    </sheetView>
  </sheetViews>
  <sheetFormatPr defaultColWidth="10.21875" defaultRowHeight="13.2"/>
  <cols>
    <col min="1" max="1" width="23.77734375" style="3" customWidth="1"/>
    <col min="2" max="2" width="8.77734375" style="3" customWidth="1"/>
    <col min="3" max="4" width="4.77734375" style="3" customWidth="1"/>
    <col min="5" max="5" width="6.21875" style="3" customWidth="1"/>
    <col min="6" max="16384" width="10.21875" style="3"/>
  </cols>
  <sheetData>
    <row r="1" spans="1:11" ht="15" customHeight="1">
      <c r="A1" s="4" t="str">
        <f>INC!A1</f>
        <v>EXCEL MODELING TEST</v>
      </c>
      <c r="B1" s="5"/>
    </row>
    <row r="2" spans="1:11" ht="15" customHeight="1">
      <c r="A2" s="6" t="s">
        <v>83</v>
      </c>
      <c r="B2" s="7"/>
      <c r="C2" s="8"/>
      <c r="D2" s="8"/>
      <c r="E2" s="8"/>
      <c r="F2" s="8"/>
      <c r="G2" s="8"/>
      <c r="H2" s="8"/>
      <c r="I2" s="8"/>
      <c r="J2" s="8"/>
    </row>
    <row r="3" spans="1:11">
      <c r="A3" s="9" t="s">
        <v>2</v>
      </c>
    </row>
    <row r="4" spans="1:11">
      <c r="B4" s="33"/>
      <c r="C4" s="33"/>
      <c r="D4" s="33"/>
      <c r="E4" s="33"/>
      <c r="F4" s="33">
        <f>+INC!F4</f>
        <v>2025</v>
      </c>
      <c r="G4" s="33">
        <f>+INC!G4</f>
        <v>2026</v>
      </c>
      <c r="H4" s="33">
        <f>+INC!H4</f>
        <v>2027</v>
      </c>
      <c r="I4" s="33">
        <f>+INC!I4</f>
        <v>2028</v>
      </c>
      <c r="J4" s="33">
        <f>+INC!J4</f>
        <v>2029</v>
      </c>
    </row>
    <row r="5" spans="1:11">
      <c r="B5" s="10"/>
      <c r="C5" s="10"/>
      <c r="D5" s="10"/>
      <c r="E5" s="10"/>
      <c r="F5" s="10"/>
      <c r="G5" s="10"/>
      <c r="H5" s="10"/>
      <c r="I5" s="10"/>
      <c r="J5" s="10"/>
    </row>
    <row r="6" spans="1:11">
      <c r="C6" s="50"/>
      <c r="D6" s="50"/>
      <c r="E6" s="50"/>
      <c r="F6" s="50"/>
      <c r="G6" s="50"/>
      <c r="H6" s="50"/>
      <c r="I6" s="50"/>
      <c r="J6" s="50"/>
    </row>
    <row r="7" spans="1:11">
      <c r="A7" s="56" t="s">
        <v>84</v>
      </c>
      <c r="B7" s="57">
        <v>1.2</v>
      </c>
      <c r="C7" s="50"/>
      <c r="D7" s="50"/>
      <c r="E7" s="50"/>
      <c r="F7" s="50"/>
      <c r="G7" s="50"/>
      <c r="H7" s="50"/>
      <c r="I7" s="50"/>
      <c r="J7" s="50"/>
    </row>
    <row r="8" spans="1:11" ht="15" customHeight="1">
      <c r="A8" s="56" t="s">
        <v>85</v>
      </c>
      <c r="B8" s="58">
        <v>3.2500000000000001E-2</v>
      </c>
      <c r="C8" s="50"/>
      <c r="D8" s="50"/>
      <c r="E8" s="50"/>
      <c r="F8" s="50"/>
      <c r="G8" s="50"/>
      <c r="H8" s="50"/>
      <c r="I8" s="50"/>
      <c r="J8" s="50"/>
    </row>
    <row r="9" spans="1:11" ht="15" customHeight="1">
      <c r="A9" s="56" t="s">
        <v>86</v>
      </c>
      <c r="B9" s="59">
        <v>0.10299999999999999</v>
      </c>
      <c r="C9" s="50"/>
      <c r="D9" s="50"/>
      <c r="E9" s="50"/>
      <c r="F9" s="50"/>
      <c r="G9" s="50"/>
      <c r="H9" s="50"/>
      <c r="I9" s="50"/>
      <c r="J9" s="50"/>
    </row>
    <row r="10" spans="1:11">
      <c r="A10" s="56" t="s">
        <v>87</v>
      </c>
      <c r="B10" s="60">
        <v>0.03</v>
      </c>
      <c r="F10" s="61"/>
      <c r="G10" s="61"/>
      <c r="H10" s="61"/>
      <c r="I10" s="61"/>
      <c r="J10" s="61"/>
      <c r="K10" s="52"/>
    </row>
    <row r="11" spans="1:11">
      <c r="F11" s="31"/>
      <c r="G11" s="31"/>
      <c r="H11" s="31"/>
      <c r="I11" s="31"/>
      <c r="J11" s="31"/>
    </row>
    <row r="12" spans="1:11">
      <c r="A12" s="3" t="s">
        <v>88</v>
      </c>
      <c r="B12" s="62">
        <f>B8+B7*(B9-B8)</f>
        <v>0.1171</v>
      </c>
      <c r="F12" s="31"/>
      <c r="G12" s="31"/>
      <c r="H12" s="31"/>
      <c r="I12" s="31"/>
      <c r="J12" s="31"/>
    </row>
    <row r="13" spans="1:11">
      <c r="A13" s="3" t="s">
        <v>89</v>
      </c>
      <c r="B13" s="62">
        <f>Instructions!$E$35</f>
        <v>0.06</v>
      </c>
      <c r="F13" s="31"/>
      <c r="G13" s="31"/>
      <c r="H13" s="31"/>
      <c r="I13" s="31"/>
      <c r="J13" s="31"/>
    </row>
    <row r="14" spans="1:11">
      <c r="A14" s="3" t="s">
        <v>90</v>
      </c>
      <c r="B14" s="62">
        <f>B13*(1-Instructions!$E$29)</f>
        <v>4.1999999999999996E-2</v>
      </c>
      <c r="E14" s="12"/>
      <c r="F14" s="31"/>
      <c r="G14" s="31"/>
      <c r="H14" s="31"/>
      <c r="I14" s="31"/>
      <c r="J14" s="31"/>
    </row>
    <row r="15" spans="1:11">
      <c r="A15" s="3" t="s">
        <v>91</v>
      </c>
      <c r="B15" s="63">
        <f>BS!E28/(BS!E28+BS!E22+BS!E23)</f>
        <v>0.64290705800139758</v>
      </c>
      <c r="F15" s="31"/>
      <c r="G15" s="31"/>
      <c r="H15" s="31"/>
      <c r="I15" s="31"/>
      <c r="J15" s="31"/>
    </row>
    <row r="16" spans="1:11">
      <c r="A16" s="3" t="s">
        <v>92</v>
      </c>
      <c r="B16" s="25">
        <f>1-B15</f>
        <v>0.35709294199860242</v>
      </c>
      <c r="F16" s="50"/>
      <c r="G16" s="50"/>
      <c r="H16" s="50"/>
      <c r="I16" s="50"/>
      <c r="J16" s="50"/>
    </row>
    <row r="17" spans="1:10">
      <c r="A17" s="3" t="s">
        <v>93</v>
      </c>
      <c r="B17" s="64">
        <f>B15*B12+B16*B14</f>
        <v>9.028232005590496E-2</v>
      </c>
      <c r="F17" s="50"/>
      <c r="G17" s="50"/>
      <c r="H17" s="50"/>
      <c r="I17" s="50"/>
      <c r="J17" s="50"/>
    </row>
    <row r="19" spans="1:10">
      <c r="A19" s="3" t="s">
        <v>94</v>
      </c>
      <c r="F19" s="47">
        <f>CFS!F17+INC!F48*(1-Instructions!$E$29)+CFS!F20</f>
        <v>1.3322649334106771</v>
      </c>
      <c r="G19" s="47">
        <f>CFS!G17+INC!G48*(1-Instructions!$E$29)+CFS!G20</f>
        <v>6.454177842457554</v>
      </c>
      <c r="H19" s="47">
        <f>CFS!H17+INC!H48*(1-Instructions!$E$29)+CFS!H20</f>
        <v>15.247971801429024</v>
      </c>
      <c r="I19" s="47">
        <f>CFS!I17+INC!I48*(1-Instructions!$E$29)+CFS!I20</f>
        <v>15.927165246492365</v>
      </c>
      <c r="J19" s="47">
        <f>CFS!J17+INC!J48*(1-Instructions!$E$29)+CFS!J20</f>
        <v>24.089480536270592</v>
      </c>
    </row>
    <row r="20" spans="1:10">
      <c r="A20" s="3" t="s">
        <v>95</v>
      </c>
      <c r="F20" s="65">
        <f>1/(1+$B$17)^1</f>
        <v>0.91719363104844664</v>
      </c>
      <c r="G20" s="65">
        <f>1/(1+$B$17)^2</f>
        <v>0.84124415683583398</v>
      </c>
      <c r="H20" s="65">
        <f>1/(1+$B$17)^3</f>
        <v>0.77158378280654749</v>
      </c>
      <c r="I20" s="65">
        <f>1/(1+$B$17)^4</f>
        <v>0.70769173141043329</v>
      </c>
      <c r="J20" s="65">
        <f>1/(1+$B$17)^5</f>
        <v>0.64909034879529726</v>
      </c>
    </row>
    <row r="21" spans="1:10">
      <c r="A21" s="3" t="s">
        <v>96</v>
      </c>
      <c r="F21" s="47">
        <f>F19*F20</f>
        <v>1.221944911793456</v>
      </c>
      <c r="G21" s="47">
        <f>G19*G20</f>
        <v>5.4295393971467272</v>
      </c>
      <c r="H21" s="47">
        <f>H19*H20</f>
        <v>11.765087762674172</v>
      </c>
      <c r="I21" s="47">
        <f>I19*I20</f>
        <v>11.271523149750262</v>
      </c>
      <c r="J21" s="47">
        <f>J19*J20</f>
        <v>15.636249323585403</v>
      </c>
    </row>
    <row r="23" spans="1:10">
      <c r="A23" s="3" t="s">
        <v>97</v>
      </c>
      <c r="B23" s="47">
        <f>J19*(1+B10)/(B17-B10)</f>
        <v>411.59936992053827</v>
      </c>
    </row>
    <row r="24" spans="1:10">
      <c r="A24" s="3" t="s">
        <v>98</v>
      </c>
      <c r="B24" s="47">
        <f>B23*J20</f>
        <v>267.16517858564674</v>
      </c>
    </row>
    <row r="25" spans="1:10">
      <c r="A25" s="3" t="s">
        <v>99</v>
      </c>
      <c r="B25" s="47">
        <f>SUM(F21:J21)+B24</f>
        <v>312.48952313059675</v>
      </c>
    </row>
    <row r="26" spans="1:10">
      <c r="A26" s="3" t="s">
        <v>100</v>
      </c>
      <c r="B26" s="47">
        <f>BS!E22+BS!E23-BS!E6</f>
        <v>19.41</v>
      </c>
    </row>
    <row r="27" spans="1:10">
      <c r="A27" s="3" t="s">
        <v>101</v>
      </c>
      <c r="B27" s="47">
        <f>B25-B26</f>
        <v>293.07952313059673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38"/>
  <sheetViews>
    <sheetView showGridLines="0" tabSelected="1" zoomScaleNormal="100" workbookViewId="0">
      <selection activeCell="A2" sqref="A2:E2"/>
    </sheetView>
  </sheetViews>
  <sheetFormatPr defaultColWidth="8.6640625" defaultRowHeight="13.2"/>
  <cols>
    <col min="1" max="1" width="23.6640625" customWidth="1"/>
    <col min="5" max="5" width="9.5546875" customWidth="1"/>
  </cols>
  <sheetData>
    <row r="2" spans="1:12" ht="15" customHeight="1">
      <c r="A2" s="2" t="s">
        <v>1</v>
      </c>
      <c r="B2" s="2"/>
      <c r="C2" s="2"/>
      <c r="D2" s="2"/>
      <c r="E2" s="2"/>
      <c r="F2" s="3"/>
      <c r="G2" s="2" t="s">
        <v>102</v>
      </c>
      <c r="H2" s="2"/>
      <c r="I2" s="2"/>
      <c r="J2" s="2"/>
      <c r="K2" s="2"/>
    </row>
    <row r="3" spans="1:12" ht="12.75" customHeight="1">
      <c r="A3" s="9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2.75" customHeight="1">
      <c r="A4" s="66" t="s">
        <v>103</v>
      </c>
      <c r="B4" s="3"/>
      <c r="C4" s="3"/>
      <c r="D4" s="3"/>
      <c r="E4" s="3"/>
      <c r="F4" s="3"/>
      <c r="G4" s="3"/>
      <c r="H4" s="3"/>
      <c r="I4" s="3"/>
      <c r="J4" s="3"/>
      <c r="K4" s="32"/>
    </row>
    <row r="5" spans="1:12" ht="12.75" customHeight="1">
      <c r="A5" s="1" t="s">
        <v>104</v>
      </c>
      <c r="B5" s="1"/>
      <c r="C5" s="1"/>
      <c r="D5" s="1"/>
      <c r="E5" s="13">
        <v>0.02</v>
      </c>
      <c r="F5" s="3"/>
      <c r="G5" s="9" t="s">
        <v>105</v>
      </c>
      <c r="H5" s="3"/>
      <c r="I5" s="3"/>
      <c r="J5" s="3"/>
      <c r="K5" s="3"/>
    </row>
    <row r="6" spans="1:12" ht="12.75" customHeight="1">
      <c r="A6" s="3" t="s">
        <v>106</v>
      </c>
      <c r="B6" s="3"/>
      <c r="C6" s="3"/>
      <c r="D6" s="3"/>
      <c r="E6" s="25">
        <v>0.01</v>
      </c>
      <c r="F6" s="3"/>
      <c r="G6" s="3" t="s">
        <v>107</v>
      </c>
      <c r="H6" s="3"/>
      <c r="I6" s="3"/>
      <c r="J6" s="3"/>
      <c r="K6" s="3"/>
    </row>
    <row r="7" spans="1:12" ht="12.75" customHeight="1">
      <c r="A7" s="34"/>
      <c r="B7" s="3"/>
      <c r="C7" s="3"/>
      <c r="D7" s="3"/>
      <c r="E7" s="25"/>
      <c r="F7" s="3"/>
      <c r="G7" s="9" t="s">
        <v>108</v>
      </c>
      <c r="H7" s="3"/>
      <c r="I7" s="3"/>
      <c r="J7" s="3"/>
      <c r="K7" s="67"/>
    </row>
    <row r="8" spans="1:12" ht="12.75" customHeight="1">
      <c r="A8" s="66" t="s">
        <v>109</v>
      </c>
      <c r="B8" s="3"/>
      <c r="C8" s="3"/>
      <c r="D8" s="3"/>
      <c r="E8" s="3"/>
      <c r="F8" s="3"/>
      <c r="G8" s="9" t="s">
        <v>110</v>
      </c>
      <c r="H8" s="3"/>
      <c r="I8" s="3"/>
      <c r="J8" s="3"/>
      <c r="K8" s="3"/>
    </row>
    <row r="9" spans="1:12" ht="12.75" customHeight="1">
      <c r="A9" s="34" t="s">
        <v>111</v>
      </c>
      <c r="B9" s="3"/>
      <c r="C9" s="3"/>
      <c r="D9" s="3"/>
      <c r="E9" s="13">
        <v>0.9</v>
      </c>
      <c r="F9" s="3"/>
      <c r="G9" s="3" t="s">
        <v>112</v>
      </c>
      <c r="H9" s="3"/>
      <c r="I9" s="3"/>
      <c r="J9" s="3"/>
      <c r="K9" s="67"/>
    </row>
    <row r="10" spans="1:12" ht="12.75" customHeight="1">
      <c r="A10" s="9" t="s">
        <v>113</v>
      </c>
      <c r="B10" s="3"/>
      <c r="C10" s="3"/>
      <c r="D10" s="3"/>
      <c r="E10" s="13"/>
      <c r="F10" s="3"/>
      <c r="G10" s="3" t="s">
        <v>114</v>
      </c>
      <c r="H10" s="3"/>
      <c r="I10" s="3"/>
      <c r="J10" s="3"/>
      <c r="K10" s="3"/>
    </row>
    <row r="11" spans="1:12" ht="12.75" customHeight="1">
      <c r="A11" s="34" t="s">
        <v>115</v>
      </c>
      <c r="B11" s="3"/>
      <c r="C11" s="3"/>
      <c r="D11" s="3"/>
      <c r="E11" s="13">
        <v>0.92500000000000004</v>
      </c>
      <c r="F11" s="3"/>
      <c r="G11" s="9" t="s">
        <v>116</v>
      </c>
      <c r="H11" s="3"/>
      <c r="I11" s="3"/>
      <c r="J11" s="3"/>
      <c r="K11" s="68">
        <v>0.05</v>
      </c>
    </row>
    <row r="12" spans="1:12" ht="12.75" customHeight="1">
      <c r="A12" s="9" t="s">
        <v>117</v>
      </c>
      <c r="B12" s="3"/>
      <c r="C12" s="3"/>
      <c r="D12" s="3"/>
      <c r="E12" s="3"/>
      <c r="F12" s="3"/>
      <c r="G12" s="3" t="s">
        <v>118</v>
      </c>
      <c r="H12" s="3"/>
      <c r="I12" s="3"/>
      <c r="J12" s="3"/>
      <c r="K12" s="3"/>
    </row>
    <row r="13" spans="1:12" ht="12.75" customHeight="1">
      <c r="A13" s="3"/>
      <c r="B13" s="3"/>
      <c r="C13" s="3"/>
      <c r="D13" s="3"/>
      <c r="E13" s="3"/>
      <c r="F13" s="3"/>
      <c r="G13" s="3" t="s">
        <v>119</v>
      </c>
      <c r="H13" s="3"/>
      <c r="I13" s="3"/>
      <c r="J13" s="3"/>
      <c r="K13" s="3"/>
    </row>
    <row r="14" spans="1:12" ht="12.75" customHeight="1">
      <c r="A14" s="66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2.75" customHeight="1">
      <c r="A15" s="3" t="s">
        <v>120</v>
      </c>
      <c r="B15" s="3"/>
      <c r="C15" s="3"/>
      <c r="D15" s="3"/>
      <c r="E15" s="25">
        <v>0.25</v>
      </c>
      <c r="F15" s="3"/>
      <c r="G15" s="3"/>
      <c r="H15" s="3"/>
      <c r="I15" s="3"/>
      <c r="J15" s="3"/>
      <c r="K15" s="3"/>
      <c r="L15" s="3"/>
    </row>
    <row r="16" spans="1:12" ht="12.75" customHeight="1">
      <c r="A16" s="9" t="s">
        <v>121</v>
      </c>
      <c r="B16" s="3"/>
      <c r="C16" s="3"/>
      <c r="D16" s="3"/>
      <c r="E16" s="32"/>
      <c r="F16" s="3"/>
      <c r="G16" s="3"/>
      <c r="H16" s="3"/>
      <c r="I16" s="3"/>
      <c r="J16" s="3"/>
      <c r="K16" s="3"/>
      <c r="L16" s="3"/>
    </row>
    <row r="17" spans="1:12" ht="12.75" customHeight="1">
      <c r="A17" s="3"/>
      <c r="B17" s="3"/>
      <c r="C17" s="3"/>
      <c r="D17" s="3"/>
      <c r="E17" s="32"/>
      <c r="F17" s="3"/>
      <c r="G17" s="3"/>
      <c r="H17" s="3"/>
      <c r="I17" s="3"/>
      <c r="J17" s="3"/>
      <c r="K17" s="3"/>
      <c r="L17" s="3"/>
    </row>
    <row r="18" spans="1:12" ht="12.75" customHeight="1">
      <c r="A18" s="3" t="s">
        <v>122</v>
      </c>
      <c r="B18" s="3"/>
      <c r="C18" s="3"/>
      <c r="D18" s="3"/>
      <c r="E18" s="25">
        <v>0.09</v>
      </c>
      <c r="F18" s="3"/>
      <c r="G18" s="3"/>
      <c r="H18" s="3"/>
      <c r="I18" s="3"/>
      <c r="J18" s="3"/>
      <c r="K18" s="3"/>
      <c r="L18" s="3"/>
    </row>
    <row r="19" spans="1:12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75" customHeight="1">
      <c r="A20" s="3" t="s">
        <v>123</v>
      </c>
      <c r="B20" s="3"/>
      <c r="C20" s="3"/>
      <c r="D20" s="3"/>
      <c r="E20" s="13">
        <v>0.15</v>
      </c>
      <c r="F20" s="3"/>
      <c r="G20" s="3"/>
      <c r="H20" s="3"/>
      <c r="I20" s="3"/>
      <c r="J20" s="3"/>
      <c r="K20" s="3"/>
      <c r="L20" s="3"/>
    </row>
    <row r="21" spans="1:12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75" customHeight="1">
      <c r="A22" s="3" t="s">
        <v>124</v>
      </c>
      <c r="B22" s="3"/>
      <c r="C22" s="3"/>
      <c r="D22" s="3"/>
      <c r="E22" s="32">
        <v>0.01</v>
      </c>
      <c r="F22" s="3"/>
      <c r="G22" s="3"/>
      <c r="H22" s="3"/>
      <c r="I22" s="3"/>
      <c r="J22" s="3"/>
      <c r="K22" s="3"/>
      <c r="L22" s="3"/>
    </row>
    <row r="23" spans="1:12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75" customHeight="1">
      <c r="A24" s="3" t="s">
        <v>125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75" customHeight="1">
      <c r="A25" s="3" t="s">
        <v>126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75" customHeight="1">
      <c r="A26" s="3">
        <v>2028</v>
      </c>
      <c r="B26" s="3"/>
      <c r="C26" s="3"/>
      <c r="D26" s="3"/>
      <c r="E26" s="69">
        <v>2</v>
      </c>
      <c r="F26" s="3"/>
      <c r="G26" s="3"/>
      <c r="H26" s="3"/>
      <c r="I26" s="3"/>
      <c r="J26" s="3"/>
      <c r="K26" s="3"/>
    </row>
    <row r="27" spans="1:12" ht="12.75" customHeight="1">
      <c r="A27" s="3">
        <v>2029</v>
      </c>
      <c r="B27" s="3"/>
      <c r="C27" s="3"/>
      <c r="D27" s="3"/>
      <c r="E27" s="69">
        <v>3</v>
      </c>
      <c r="F27" s="3"/>
      <c r="G27" s="3"/>
      <c r="H27" s="3"/>
      <c r="I27" s="3"/>
      <c r="J27" s="3"/>
      <c r="K27" s="3"/>
    </row>
    <row r="28" spans="1:12" ht="12.75" customHeight="1">
      <c r="A28" s="3"/>
      <c r="B28" s="3"/>
      <c r="C28" s="3"/>
      <c r="D28" s="3"/>
      <c r="E28" s="3"/>
      <c r="F28" s="3"/>
      <c r="G28" s="9"/>
      <c r="H28" s="3"/>
      <c r="I28" s="3"/>
      <c r="J28" s="3"/>
      <c r="K28" s="3"/>
    </row>
    <row r="29" spans="1:12" ht="12.75" customHeight="1">
      <c r="A29" s="3" t="s">
        <v>127</v>
      </c>
      <c r="B29" s="3"/>
      <c r="C29" s="3"/>
      <c r="D29" s="3"/>
      <c r="E29" s="25">
        <v>0.3</v>
      </c>
      <c r="F29" s="3"/>
      <c r="G29" s="3"/>
      <c r="H29" s="3"/>
      <c r="I29" s="3"/>
      <c r="J29" s="3"/>
      <c r="K29" s="3"/>
    </row>
    <row r="30" spans="1:12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ht="12.75" customHeight="1">
      <c r="A32" s="66" t="s">
        <v>128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>
      <c r="A34" s="66" t="s">
        <v>129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>
      <c r="A35" s="3" t="s">
        <v>130</v>
      </c>
      <c r="B35" s="3"/>
      <c r="C35" s="3"/>
      <c r="D35" s="3"/>
      <c r="E35" s="32">
        <v>0.06</v>
      </c>
      <c r="F35" s="3"/>
      <c r="G35" s="3"/>
      <c r="H35" s="10"/>
      <c r="I35" s="3"/>
      <c r="J35" s="3"/>
      <c r="K35" s="3"/>
    </row>
    <row r="36" spans="1:11" ht="12.75" customHeight="1">
      <c r="A36" s="66" t="s">
        <v>131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>
      <c r="A37" s="3" t="s">
        <v>132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>
      <c r="A38" s="3" t="s">
        <v>133</v>
      </c>
      <c r="B38" s="3"/>
      <c r="C38" s="3"/>
      <c r="D38" s="3"/>
      <c r="E38" s="32">
        <v>7.0000000000000007E-2</v>
      </c>
      <c r="F38" s="3"/>
      <c r="G38" s="3"/>
      <c r="H38" s="3"/>
      <c r="I38" s="3"/>
      <c r="J38" s="3"/>
      <c r="K38" s="3"/>
    </row>
  </sheetData>
  <mergeCells count="3">
    <mergeCell ref="A2:E2"/>
    <mergeCell ref="G2:K2"/>
    <mergeCell ref="A5:D5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INC</vt:lpstr>
      <vt:lpstr>BS</vt:lpstr>
      <vt:lpstr>CFS</vt:lpstr>
      <vt:lpstr>Ratios</vt:lpstr>
      <vt:lpstr>FCFF Valuation</vt:lpstr>
      <vt:lpstr>Instructions</vt:lpstr>
      <vt:lpstr>BS!Print_Area</vt:lpstr>
      <vt:lpstr>CFS!Print_Area</vt:lpstr>
      <vt:lpstr>INC!Print_Area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Rajput</dc:creator>
  <dc:description/>
  <cp:lastModifiedBy>Abhay Singh Rajput</cp:lastModifiedBy>
  <cp:revision>0</cp:revision>
  <cp:lastPrinted>2010-10-23T06:18:31Z</cp:lastPrinted>
  <dcterms:created xsi:type="dcterms:W3CDTF">1998-12-15T09:29:30Z</dcterms:created>
  <dcterms:modified xsi:type="dcterms:W3CDTF">2026-08-28T06:09:51Z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{6D840052-4817-48EA-B552-541690B7F003}</vt:lpwstr>
  </property>
</Properties>
</file>